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⚙ Configuración" sheetId="1" r:id="rId4"/>
    <sheet state="visible" name="📋 Sprint 1 - Backlog" sheetId="2" r:id="rId5"/>
    <sheet state="visible" name="🔄 Retrospectiva - Sprint 1" sheetId="3" r:id="rId6"/>
    <sheet state="visible" name="📋Sprint 2 - Backlog" sheetId="4" r:id="rId7"/>
    <sheet state="visible" name="📉 Burndown - Sprint 2" sheetId="5" r:id="rId8"/>
    <sheet state="visible" name="🔄 Retrospectiva - Sprint 2" sheetId="6" r:id="rId9"/>
    <sheet state="visible" name="📉 Burndown" sheetId="7" r:id="rId10"/>
    <sheet state="visible" name="🔄 Retrospectiva" sheetId="8" r:id="rId11"/>
    <sheet state="visible" name="📊 Métricas" sheetId="9" r:id="rId12"/>
  </sheets>
  <definedNames/>
  <calcPr/>
  <extLst>
    <ext uri="GoogleSheetsCustomDataVersion2">
      <go:sheetsCustomData xmlns:go="http://customooxmlschemas.google.com/" r:id="rId13" roundtripDataChecksum="yQFMYLQUF2Dq95XchjM8xsBMpDlCevMU9puMEj/iZxk="/>
    </ext>
  </extLst>
</workbook>
</file>

<file path=xl/sharedStrings.xml><?xml version="1.0" encoding="utf-8"?>
<sst xmlns="http://schemas.openxmlformats.org/spreadsheetml/2006/main" count="349" uniqueCount="205">
  <si>
    <t>🏃  Configuración del Sprint</t>
  </si>
  <si>
    <t>📋  Sprint Backlog</t>
  </si>
  <si>
    <t>🔄  Retrospectiva del Sprint</t>
  </si>
  <si>
    <t>Completa estos datos antes de comenzar el sprint</t>
  </si>
  <si>
    <t>Agrega/edita las User Stories del sprint. 'SP Completados' y 'Estado' se actualizan durante el sprint.</t>
  </si>
  <si>
    <t>Completa al finalizar el Sprint Review (formato Keep / Drop / Try)</t>
  </si>
  <si>
    <t xml:space="preserve">  📋  Datos del Sprint</t>
  </si>
  <si>
    <t>ID</t>
  </si>
  <si>
    <t>User Story / Tarea</t>
  </si>
  <si>
    <t>✅  KEEP — Lo que funcionó bien</t>
  </si>
  <si>
    <t>Responsable</t>
  </si>
  <si>
    <t>SP Estimados</t>
  </si>
  <si>
    <t>Nombre del proyecto</t>
  </si>
  <si>
    <t xml:space="preserve">  •  El uso de nomenclatura actual para el nombramiento de variables</t>
  </si>
  <si>
    <t>SP Completados</t>
  </si>
  <si>
    <t>PubTube</t>
  </si>
  <si>
    <t>Estado</t>
  </si>
  <si>
    <t>Ej: PubTube</t>
  </si>
  <si>
    <t>Prioridad</t>
  </si>
  <si>
    <t>Número de sprint</t>
  </si>
  <si>
    <t>US-C2.1</t>
  </si>
  <si>
    <t>Ej: 1, 2, 3...</t>
  </si>
  <si>
    <t>TECH-C1</t>
  </si>
  <si>
    <t>Equipo / Módulo</t>
  </si>
  <si>
    <t>Equipo C — M3 Publicación</t>
  </si>
  <si>
    <t>Ej: Equipo A</t>
  </si>
  <si>
    <t>Verificar en PostgreSQL lo construido en S1: job store, registro y handler (incluye 2.2 y 2.3)</t>
  </si>
  <si>
    <t>Fecha de inicio</t>
  </si>
  <si>
    <t>Christian</t>
  </si>
  <si>
    <t>DD/MM/AAAA</t>
  </si>
  <si>
    <t>Fecha de cierre (Review)</t>
  </si>
  <si>
    <t xml:space="preserve">  •  La comunicacion dentro del modulo ha sido fluida </t>
  </si>
  <si>
    <t>Duración (sesiones Lun/Jue)</t>
  </si>
  <si>
    <t>Sesiones de trabajo</t>
  </si>
  <si>
    <t>Configuración OAuth 2.0 Google (proyecto + credenciales)</t>
  </si>
  <si>
    <t>Story Points comprometidos (total)</t>
  </si>
  <si>
    <t>Nahuel</t>
  </si>
  <si>
    <t xml:space="preserve">  •  </t>
  </si>
  <si>
    <t>⏳ To Do</t>
  </si>
  <si>
    <t>Alta</t>
  </si>
  <si>
    <t>❌  DROP — Lo que hay que dejar de hacer</t>
  </si>
  <si>
    <t>US-C2.4</t>
  </si>
  <si>
    <t>Servicio interno para cancelar y reprogramar jobs</t>
  </si>
  <si>
    <t>Done</t>
  </si>
  <si>
    <t>US-C2.5</t>
  </si>
  <si>
    <t>Reconciliación al arranque (vencidos, atascados, huérfanos) + ADR-0004 (incluye 2.6)</t>
  </si>
  <si>
    <t>SP del Sprint Backlog</t>
  </si>
  <si>
    <t>Velocidad sprint anterior</t>
  </si>
  <si>
    <t>SP completados sprint previo</t>
  </si>
  <si>
    <t>US-C2.7</t>
  </si>
  <si>
    <t>Pruebas de integración con testcontainers + ensayo de demo de reinicio (incluye 2.8)</t>
  </si>
  <si>
    <t>Número de integrantes</t>
  </si>
  <si>
    <t xml:space="preserve">  •  Hay que dejar de hacer test genericos para asegurar la compilacion del sistema</t>
  </si>
  <si>
    <t>US-C5.1</t>
  </si>
  <si>
    <t>TECH-C2</t>
  </si>
  <si>
    <t>Clasificar errores: transitorio, diferible (cuota) o definitivo</t>
  </si>
  <si>
    <t>Francisco</t>
  </si>
  <si>
    <t>Personas en el equipo</t>
  </si>
  <si>
    <t>US-C5.2</t>
  </si>
  <si>
    <t>ADR-0005 y política de reintentos configurable por .env</t>
  </si>
  <si>
    <t xml:space="preserve">  🎯  Definition of Done (DoD)</t>
  </si>
  <si>
    <t xml:space="preserve">  •  Hay que trabajar a un ritmo mas continuo, evitando dejar tareas importantes a ultima hora</t>
  </si>
  <si>
    <t>Modelo de datos publication + migraciones</t>
  </si>
  <si>
    <t>Alonso</t>
  </si>
  <si>
    <t>US-C5.3</t>
  </si>
  <si>
    <t>TECH-C3</t>
  </si>
  <si>
    <t xml:space="preserve">  ✔  Código revisado por al menos un par (Code Review)</t>
  </si>
  <si>
    <t>Reintento vía reprogramación del job + publish.failed con causa (incluye 5.5)</t>
  </si>
  <si>
    <t>Esqueleto del servicio + Dockerfile</t>
  </si>
  <si>
    <t>US-C5.4</t>
  </si>
  <si>
    <t>Media</t>
  </si>
  <si>
    <t>Extender el mock con fallas transitorias controlables</t>
  </si>
  <si>
    <t>Francisco y Alonso</t>
  </si>
  <si>
    <t>🚀  TRY — Lo que queremos intentar</t>
  </si>
  <si>
    <t xml:space="preserve">  ✔  Pruebas unitarias/integración escritas y pasando (cobertura ≥ 70%)</t>
  </si>
  <si>
    <t>TECH-01</t>
  </si>
  <si>
    <t>US-C5.6</t>
  </si>
  <si>
    <t>Repo Git: ROLES.md, README, .env.example, CI base</t>
  </si>
  <si>
    <t>Pruebas de escenarios de error y del contrato del evento</t>
  </si>
  <si>
    <t xml:space="preserve">  ✔  Desplegable con docker compose y demostrable en el Review</t>
  </si>
  <si>
    <t>US-C6.1</t>
  </si>
  <si>
    <t xml:space="preserve">  •  Hay que intentar mejorar la comunicacion entre modulos</t>
  </si>
  <si>
    <t>STRETCH (2 SP, fuera del compromiso) · Pasar todos los cambios de estado por la matriz (incluye 6.3)</t>
  </si>
  <si>
    <t>Christian, Francisco y Alonso</t>
  </si>
  <si>
    <t>TECH-C4.1</t>
  </si>
  <si>
    <t xml:space="preserve">  📌  Notas del Sprint</t>
  </si>
  <si>
    <t xml:space="preserve">  •  Hay que regularizar las evidencias post acuerdo entre modulos </t>
  </si>
  <si>
    <t>Definición de interfaz base: Crear una interfaz o clase abstracta Publisher que defina el contrato base</t>
  </si>
  <si>
    <t>Baja</t>
  </si>
  <si>
    <t xml:space="preserve">  •  Se podria intentar regularizar la carga de trabajo para que quede distribuida mas equitativamente</t>
  </si>
  <si>
    <t xml:space="preserve">Escribe aquí los acuerdos e impedimentos del Sprint Planning...  </t>
  </si>
  <si>
    <t>US-C6.2</t>
  </si>
  <si>
    <t>STRETCH (1 SP, fuera del compromiso) · Pruebas exhaustivas de transiciones válidas e inválidas</t>
  </si>
  <si>
    <t>📌  Acciones Concretas para el Próximo Sprint</t>
  </si>
  <si>
    <t>TECH-C4.2</t>
  </si>
  <si>
    <t>Implementación del Mock: Crear la clase MockPublisher que implemente la interfaz</t>
  </si>
  <si>
    <t>Hector</t>
  </si>
  <si>
    <t>Acción</t>
  </si>
  <si>
    <t>TECH-C4.3</t>
  </si>
  <si>
    <t>Configuración de entorno (Feature Flag): Agregar una variable de entorno</t>
  </si>
  <si>
    <t>TECH-C4.4</t>
  </si>
  <si>
    <t>Pruebas unitarias: Crear tests unitarios para verificar que el mock respeta el contrato</t>
  </si>
  <si>
    <t>TECH-C4.5</t>
  </si>
  <si>
    <t>Fecha límite</t>
  </si>
  <si>
    <t>Pruebas unitarias: Crear tests unitarios para verificar que el mock emite los eventos correctos</t>
  </si>
  <si>
    <t>Establecer como regla en los Code Reviews rechazar cualquier Pull Request que no incluya pruebas unitarias reales que validen la lógica de dominio</t>
  </si>
  <si>
    <t>TECH-C1.1</t>
  </si>
  <si>
    <t>Modelo de Base de Datos: Crear la tabla publication en PostgreSQL con los campos requeridos</t>
  </si>
  <si>
    <t>Equipo de desarrolladores</t>
  </si>
  <si>
    <t>TECH-C1.2</t>
  </si>
  <si>
    <t>Endpoint REST: Implementar el endpoint POST /api/publish/schedule que reciba el payload</t>
  </si>
  <si>
    <t>Dividir las Historias de Usuario (ej. US-C2 del scheduler) en subtareas de máximo 1-2 días durante el Planning y asignarlas equitativamente.</t>
  </si>
  <si>
    <t>PO del sprint 2</t>
  </si>
  <si>
    <t>TECH-C1.3</t>
  </si>
  <si>
    <t>Validaciones de Dominio: Implementar la lógica para validar que sea una fecha futura</t>
  </si>
  <si>
    <t>TECH-C1.4</t>
  </si>
  <si>
    <t>Validaciones de Dominio: Implementar la lógica para validar que la zona horaria sea válida</t>
  </si>
  <si>
    <t>Actualizar el Burndown de forma estricta después de cada Daily Standup para detectar visualmente si el trabajo se está acumulando para el final.</t>
  </si>
  <si>
    <t>SM del sprint 2</t>
  </si>
  <si>
    <t>TECH-C1.5</t>
  </si>
  <si>
    <t>Emisión de Evento: Configurar el publicador de RabbitMQ para emitir el evento publish.scheduled a los demás módulos</t>
  </si>
  <si>
    <t>TECH-C1.6</t>
  </si>
  <si>
    <t xml:space="preserve">Documentación: Documentar el nuevo endpoint </t>
  </si>
  <si>
    <t>TECH-C1.7</t>
  </si>
  <si>
    <t>Pruebas: Escribir las pruebas unitarias relacionadas al nuevo endpoint</t>
  </si>
  <si>
    <t>TECH-C1.8</t>
  </si>
  <si>
    <t>Pruebas: Escribir las pruebas validacion relacionadas al nuevo endpoint</t>
  </si>
  <si>
    <t>TECH-C2.1</t>
  </si>
  <si>
    <t>Integración de librería Scheduler: Instalar una librería de calendarización</t>
  </si>
  <si>
    <t>TECH-C2.2</t>
  </si>
  <si>
    <t>Integración de librería Scheduler: Configurar la librería de calendarización</t>
  </si>
  <si>
    <t>TECH-C2.3</t>
  </si>
  <si>
    <t>Ejecución de la tarea (Job Handler): Desarrollar la función que el scheduler disparará a la hora programada</t>
  </si>
  <si>
    <t>TECH-C2.4</t>
  </si>
  <si>
    <t>Estrategia de recuperación: Configurar el scheduler para que recupere los jobs pendientes o atrasados</t>
  </si>
  <si>
    <t>TECH-C2.5</t>
  </si>
  <si>
    <t>Pruebas de integración: Escribir pruebas para verificar que el job se dispara correctamente</t>
  </si>
  <si>
    <t>TECH-C2.6</t>
  </si>
  <si>
    <t>Pruebas de integración: Escribir pruebas para probar el reinicio del sistema</t>
  </si>
  <si>
    <t>TOTAL SP DEL SPRINT</t>
  </si>
  <si>
    <t xml:space="preserve">  •  Escribe aquí un aspecto positivo del sprint...</t>
  </si>
  <si>
    <t xml:space="preserve">  •  ...</t>
  </si>
  <si>
    <t xml:space="preserve">  •  Escribe aquí una práctica a eliminar...</t>
  </si>
  <si>
    <t xml:space="preserve">  •  Escribe aquí una nueva práctica a probar...</t>
  </si>
  <si>
    <t>📉  Burndown Chart — Seguimiento por Sesión (Lun/Jue)</t>
  </si>
  <si>
    <t>Actualiza 'SP Completados Hoy' al final de cada Daily (lunes y jueves).</t>
  </si>
  <si>
    <t>Sesión</t>
  </si>
  <si>
    <t>Fecha</t>
  </si>
  <si>
    <t>SP Restantes (Ideal)</t>
  </si>
  <si>
    <t>SP Completados Hoy</t>
  </si>
  <si>
    <t>SP Acumulados</t>
  </si>
  <si>
    <t>SP Restantes (Real)</t>
  </si>
  <si>
    <t>31/08/26</t>
  </si>
  <si>
    <t>📊  Métricas del Sprint</t>
  </si>
  <si>
    <t>Estas métricas se calculan automáticamente desde el Backlog y la Configuración</t>
  </si>
  <si>
    <t>Sprint 01</t>
  </si>
  <si>
    <t xml:space="preserve">  🎯  Progreso del Sprint</t>
  </si>
  <si>
    <t>03/09/26</t>
  </si>
  <si>
    <t>SP comprometidos</t>
  </si>
  <si>
    <t>Total de SP del Sprint Backlog</t>
  </si>
  <si>
    <t>07/09/26</t>
  </si>
  <si>
    <t>SP completados</t>
  </si>
  <si>
    <t>10/09/26</t>
  </si>
  <si>
    <t>SP en estado Done hasta hoy</t>
  </si>
  <si>
    <t>SP restantes</t>
  </si>
  <si>
    <t>14/09/26</t>
  </si>
  <si>
    <t>SP que aún deben completarse</t>
  </si>
  <si>
    <t>% completado</t>
  </si>
  <si>
    <t>17/09/26</t>
  </si>
  <si>
    <t>Avance real del sprint</t>
  </si>
  <si>
    <t>Historias Done</t>
  </si>
  <si>
    <t>Historias completadas</t>
  </si>
  <si>
    <t>Historias en progreso</t>
  </si>
  <si>
    <t>En desarrollo activo</t>
  </si>
  <si>
    <t xml:space="preserve">  ⚡  Velocidad y Predicción</t>
  </si>
  <si>
    <t>Velocidad sprint actual (real)</t>
  </si>
  <si>
    <t>SP completados en este sprint</t>
  </si>
  <si>
    <t>SP completados en sprint previo</t>
  </si>
  <si>
    <t>Variación de velocidad</t>
  </si>
  <si>
    <t>Positivo = mejora respecto al anterior</t>
  </si>
  <si>
    <t>13+</t>
  </si>
  <si>
    <t>SP/persona/sprint</t>
  </si>
  <si>
    <t>Productividad promedio del equipo</t>
  </si>
  <si>
    <t>SP/persona/sesión</t>
  </si>
  <si>
    <t>Ritmo por sesión del equipo</t>
  </si>
  <si>
    <t xml:space="preserve">  🏥  Salud del Sprint</t>
  </si>
  <si>
    <t>Sesiones transcurridas</t>
  </si>
  <si>
    <t>Actualizar manualmente cada sesión</t>
  </si>
  <si>
    <t>Sesiones restantes</t>
  </si>
  <si>
    <t>Sesiones hasta el Sprint Review</t>
  </si>
  <si>
    <t>SP/sesión requerido</t>
  </si>
  <si>
    <t>Ritmo necesario para completar el sprint</t>
  </si>
  <si>
    <t>SP/sesión logrado</t>
  </si>
  <si>
    <t>Ritmo real del equipo</t>
  </si>
  <si>
    <t>Índice de rendimiento (SPI)</t>
  </si>
  <si>
    <t>SPI &gt;1 = adelantado  |  SPI &lt;1 = atrasado</t>
  </si>
  <si>
    <t xml:space="preserve">  Interpretación del SPI (Schedule Performance Index):</t>
  </si>
  <si>
    <t>SPI &gt; 1.1</t>
  </si>
  <si>
    <t>Equipo adelantado — considerar asumir trabajo extra (backlog stretch)</t>
  </si>
  <si>
    <t>SPI 0.9 – 1.1</t>
  </si>
  <si>
    <t>Equipo dentro del ritmo esperado ✓</t>
  </si>
  <si>
    <t>SPI 0.7 – 0.9</t>
  </si>
  <si>
    <t>Leve atraso — revisar impedimentos en la Daily</t>
  </si>
  <si>
    <t>SPI &lt; 0.7</t>
  </si>
  <si>
    <t>Atraso crítico — replanificar el sprint con el 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</si>
</sst>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"/>
    <numFmt numFmtId="165" formatCode="0.0"/>
    <numFmt numFmtId="166" formatCode="0.0%"/>
    <numFmt numFmtId="167" formatCode="\+#,##0;\-#,##0;0"/>
  </numFmts>
  <fonts count="39">
    <font>
      <sz val="11.0"/>
      <color theme="1"/>
      <name val="Calibri"/>
      <scheme val="minor"/>
    </font>
    <font>
      <b/>
      <sz val="16.0"/>
      <color rgb="FFFFFFFF"/>
      <name val="Calibri"/>
    </font>
    <font/>
    <font>
      <sz val="10.0"/>
      <color rgb="FF64748B"/>
      <name val="Calibri"/>
    </font>
    <font>
      <b/>
      <sz val="11.0"/>
      <color rgb="FFFFFFFF"/>
      <name val="Calibri"/>
    </font>
    <font>
      <b/>
      <sz val="12.0"/>
      <color rgb="FFFFFFFF"/>
      <name val="Calibri"/>
    </font>
    <font>
      <sz val="11.0"/>
      <color rgb="FF1A2E4A"/>
      <name val="Calibri"/>
    </font>
    <font>
      <b/>
      <sz val="11.0"/>
      <color rgb="FF1D5FA8"/>
      <name val="Calibri"/>
    </font>
    <font>
      <sz val="9.0"/>
      <color rgb="FF64748B"/>
      <name val="Calibri"/>
    </font>
    <font>
      <b/>
      <color rgb="FF1A2E4A"/>
      <name val="Calibri"/>
    </font>
    <font>
      <sz val="10.0"/>
      <color rgb="FF1A2E4A"/>
      <name val="Calibri"/>
    </font>
    <font>
      <color rgb="FF1A2E4A"/>
      <name val="Calibri"/>
    </font>
    <font>
      <color rgb="FF64748B"/>
      <name val="Calibri"/>
    </font>
    <font>
      <b/>
      <sz val="10.0"/>
      <color rgb="FF1A2E4A"/>
      <name val="Calibri"/>
    </font>
    <font>
      <b/>
      <sz val="11.0"/>
      <color rgb="FF0D8A8A"/>
      <name val="Calibri"/>
    </font>
    <font>
      <b/>
      <sz val="10.0"/>
      <color rgb="FF000000"/>
      <name val="Calibri"/>
    </font>
    <font>
      <b/>
      <color rgb="FFB5232A"/>
      <name val="Calibri"/>
    </font>
    <font>
      <b/>
      <sz val="10.0"/>
      <color rgb="FFB5232A"/>
      <name val="Calibri"/>
    </font>
    <font>
      <sz val="10.0"/>
      <color rgb="FF1E7E34"/>
      <name val="Calibri"/>
    </font>
    <font>
      <b/>
      <sz val="10.0"/>
      <color rgb="FFD4860B"/>
      <name val="Calibri"/>
    </font>
    <font>
      <sz val="10.0"/>
      <color rgb="FF1F1F1F"/>
      <name val="Arial"/>
    </font>
    <font>
      <b/>
      <color rgb="FF1E7E34"/>
      <name val="Calibri"/>
    </font>
    <font>
      <sz val="11.0"/>
      <color theme="1"/>
      <name val="Calibri"/>
    </font>
    <font>
      <b/>
      <sz val="11.0"/>
      <color rgb="FF000000"/>
      <name val="Calibri"/>
    </font>
    <font>
      <b/>
      <sz val="10.0"/>
      <color rgb="FFFFFFFF"/>
      <name val="Calibri"/>
    </font>
    <font>
      <b/>
      <color theme="1"/>
      <name val="Calibri"/>
    </font>
    <font>
      <color rgb="FF1F1F1F"/>
      <name val="Arial"/>
    </font>
    <font>
      <sz val="11.0"/>
      <color rgb="FFD4860B"/>
      <name val="Calibri"/>
    </font>
    <font>
      <b/>
      <color rgb="FFD4860B"/>
      <name val="Calibri"/>
    </font>
    <font>
      <sz val="11.0"/>
      <color rgb="FF64748B"/>
      <name val="Calibri"/>
    </font>
    <font>
      <sz val="10.0"/>
      <color theme="1"/>
      <name val="Calibri"/>
    </font>
    <font>
      <b/>
      <sz val="13.0"/>
      <color rgb="FFFFFFFF"/>
      <name val="Calibri"/>
    </font>
    <font>
      <b/>
      <sz val="11.0"/>
      <color rgb="FF1A2E4A"/>
      <name val="Calibri"/>
    </font>
    <font>
      <sz val="11.0"/>
      <color rgb="FF1E7E34"/>
      <name val="Calibri"/>
    </font>
    <font>
      <b/>
      <sz val="11.0"/>
      <color rgb="FFB5232A"/>
      <name val="Calibri"/>
    </font>
    <font>
      <b/>
      <sz val="11.0"/>
      <color rgb="FF64748B"/>
      <name val="Calibri"/>
    </font>
    <font>
      <b/>
      <sz val="12.0"/>
      <color rgb="FF1A2E4A"/>
      <name val="Calibri"/>
    </font>
    <font>
      <b/>
      <sz val="10.0"/>
      <color rgb="FF1E7E34"/>
      <name val="Calibri"/>
    </font>
    <font>
      <b/>
      <sz val="10.0"/>
      <color rgb="FF1D5FA8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1A2E4A"/>
        <bgColor rgb="FF1A2E4A"/>
      </patternFill>
    </fill>
    <fill>
      <patternFill patternType="solid">
        <fgColor rgb="FFF5F7FA"/>
        <bgColor rgb="FFF5F7FA"/>
      </patternFill>
    </fill>
    <fill>
      <patternFill patternType="solid">
        <fgColor rgb="FF1D5FA8"/>
        <bgColor rgb="FF1D5FA8"/>
      </patternFill>
    </fill>
    <fill>
      <patternFill patternType="solid">
        <fgColor rgb="FF1E7E34"/>
        <bgColor rgb="FF1E7E34"/>
      </patternFill>
    </fill>
    <fill>
      <patternFill patternType="solid">
        <fgColor rgb="FF0D8A8A"/>
        <bgColor rgb="FF0D8A8A"/>
      </patternFill>
    </fill>
    <fill>
      <patternFill patternType="solid">
        <fgColor rgb="FFFFFFFF"/>
        <bgColor rgb="FFFFFFFF"/>
      </patternFill>
    </fill>
    <fill>
      <patternFill patternType="solid">
        <fgColor rgb="FFD4860B"/>
        <bgColor rgb="FFD4860B"/>
      </patternFill>
    </fill>
    <fill>
      <patternFill patternType="solid">
        <fgColor rgb="FFB5232A"/>
        <bgColor rgb="FFB5232A"/>
      </patternFill>
    </fill>
    <fill>
      <patternFill patternType="solid">
        <fgColor rgb="FFE8F5EC"/>
        <bgColor rgb="FFE8F5EC"/>
      </patternFill>
    </fill>
    <fill>
      <patternFill patternType="solid">
        <fgColor rgb="FFE8F0FA"/>
        <bgColor rgb="FFE8F0FA"/>
      </patternFill>
    </fill>
    <fill>
      <patternFill patternType="solid">
        <fgColor rgb="FFE0F4F4"/>
        <bgColor rgb="FFE0F4F4"/>
      </patternFill>
    </fill>
    <fill>
      <patternFill patternType="solid">
        <fgColor rgb="FFFAEAEA"/>
        <bgColor rgb="FFFAEAEA"/>
      </patternFill>
    </fill>
    <fill>
      <patternFill patternType="solid">
        <fgColor rgb="FFB6D7A8"/>
        <bgColor rgb="FFB6D7A8"/>
      </patternFill>
    </fill>
    <fill>
      <patternFill patternType="solid">
        <fgColor rgb="FFFDF3E0"/>
        <bgColor rgb="FFFDF3E0"/>
      </patternFill>
    </fill>
    <fill>
      <patternFill patternType="solid">
        <fgColor rgb="FFD9EAD3"/>
        <bgColor rgb="FFD9EAD3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  <border>
      <left/>
      <right/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vertical="center"/>
    </xf>
    <xf borderId="4" fillId="2" fontId="4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left" vertical="center"/>
    </xf>
    <xf borderId="1" fillId="5" fontId="5" numFmtId="0" xfId="0" applyAlignment="1" applyBorder="1" applyFill="1" applyFont="1">
      <alignment horizontal="left" vertical="center"/>
    </xf>
    <xf borderId="4" fillId="4" fontId="4" numFmtId="0" xfId="0" applyAlignment="1" applyBorder="1" applyFill="1" applyFont="1">
      <alignment horizontal="center" shrinkToFit="0" vertical="center" wrapText="1"/>
    </xf>
    <xf borderId="5" fillId="3" fontId="6" numFmtId="0" xfId="0" applyAlignment="1" applyBorder="1" applyFill="1" applyFont="1">
      <alignment horizontal="left" vertical="center"/>
    </xf>
    <xf borderId="4" fillId="6" fontId="4" numFmtId="0" xfId="0" applyAlignment="1" applyBorder="1" applyFill="1" applyFont="1">
      <alignment horizontal="center" shrinkToFit="0" vertical="center" wrapText="1"/>
    </xf>
    <xf borderId="5" fillId="7" fontId="7" numFmtId="0" xfId="0" applyAlignment="1" applyBorder="1" applyFill="1" applyFont="1">
      <alignment horizontal="center" vertical="center"/>
    </xf>
    <xf borderId="4" fillId="8" fontId="4" numFmtId="0" xfId="0" applyAlignment="1" applyBorder="1" applyFill="1" applyFont="1">
      <alignment horizontal="center" shrinkToFit="0" vertical="center" wrapText="1"/>
    </xf>
    <xf borderId="5" fillId="3" fontId="8" numFmtId="0" xfId="0" applyAlignment="1" applyBorder="1" applyFill="1" applyFont="1">
      <alignment horizontal="left" vertical="center"/>
    </xf>
    <xf borderId="4" fillId="9" fontId="4" numFmtId="0" xfId="0" applyAlignment="1" applyBorder="1" applyFill="1" applyFont="1">
      <alignment horizontal="center" shrinkToFit="0" vertical="center" wrapText="1"/>
    </xf>
    <xf borderId="4" fillId="7" fontId="9" numFmtId="0" xfId="0" applyAlignment="1" applyBorder="1" applyFill="1" applyFont="1">
      <alignment horizontal="center" readingOrder="0" shrinkToFit="0" wrapText="0"/>
    </xf>
    <xf borderId="1" fillId="10" fontId="10" numFmtId="0" xfId="0" applyAlignment="1" applyBorder="1" applyFill="1" applyFont="1">
      <alignment horizontal="left" readingOrder="0" vertical="center"/>
    </xf>
    <xf borderId="4" fillId="7" fontId="11" numFmtId="0" xfId="0" applyAlignment="1" applyBorder="1" applyFill="1" applyFont="1">
      <alignment horizontal="left" readingOrder="0"/>
    </xf>
    <xf borderId="5" fillId="7" fontId="7" numFmtId="14" xfId="0" applyAlignment="1" applyBorder="1" applyFill="1" applyFont="1" applyNumberFormat="1">
      <alignment horizontal="center" vertical="center"/>
    </xf>
    <xf borderId="4" fillId="7" fontId="12" numFmtId="0" xfId="0" applyAlignment="1" applyBorder="1" applyFill="1" applyFont="1">
      <alignment horizontal="left" readingOrder="0"/>
    </xf>
    <xf borderId="4" fillId="3" fontId="13" numFmtId="0" xfId="0" applyAlignment="1" applyBorder="1" applyFill="1" applyFont="1">
      <alignment horizontal="center" vertical="center"/>
    </xf>
    <xf borderId="4" fillId="11" fontId="7" numFmtId="0" xfId="0" applyAlignment="1" applyBorder="1" applyFill="1" applyFont="1">
      <alignment horizontal="center" readingOrder="0" shrinkToFit="0" wrapText="0"/>
    </xf>
    <xf borderId="4" fillId="3" fontId="10" numFmtId="0" xfId="0" applyAlignment="1" applyBorder="1" applyFill="1" applyFont="1">
      <alignment horizontal="left" shrinkToFit="0" vertical="center" wrapText="1"/>
    </xf>
    <xf borderId="4" fillId="12" fontId="14" numFmtId="0" xfId="0" applyAlignment="1" applyBorder="1" applyFill="1" applyFont="1">
      <alignment horizontal="center" readingOrder="0" shrinkToFit="0" wrapText="0"/>
    </xf>
    <xf borderId="4" fillId="3" fontId="15" numFmtId="0" xfId="0" applyAlignment="1" applyBorder="1" applyFill="1" applyFont="1">
      <alignment horizontal="left" readingOrder="0" vertical="center"/>
    </xf>
    <xf borderId="4" fillId="3" fontId="12" numFmtId="0" xfId="0" applyAlignment="1" applyBorder="1" applyFill="1" applyFont="1">
      <alignment horizontal="center" readingOrder="0" shrinkToFit="0" wrapText="0"/>
    </xf>
    <xf borderId="4" fillId="11" fontId="7" numFmtId="0" xfId="0" applyAlignment="1" applyBorder="1" applyFill="1" applyFont="1">
      <alignment horizontal="center" vertical="center"/>
    </xf>
    <xf borderId="4" fillId="13" fontId="16" numFmtId="0" xfId="0" applyAlignment="1" applyBorder="1" applyFill="1" applyFont="1">
      <alignment horizontal="center" readingOrder="0" shrinkToFit="0" wrapText="0"/>
    </xf>
    <xf borderId="4" fillId="12" fontId="14" numFmtId="0" xfId="0" applyAlignment="1" applyBorder="1" applyFill="1" applyFont="1">
      <alignment horizontal="center" readingOrder="0" vertical="center"/>
    </xf>
    <xf borderId="1" fillId="9" fontId="5" numFmtId="0" xfId="0" applyAlignment="1" applyBorder="1" applyFill="1" applyFont="1">
      <alignment horizontal="left" vertical="center"/>
    </xf>
    <xf borderId="4" fillId="14" fontId="3" numFmtId="0" xfId="0" applyAlignment="1" applyBorder="1" applyFill="1" applyFont="1">
      <alignment horizontal="center" readingOrder="0" vertical="center"/>
    </xf>
    <xf borderId="4" fillId="13" fontId="17" numFmtId="0" xfId="0" applyAlignment="1" applyBorder="1" applyFill="1" applyFont="1">
      <alignment horizontal="center" vertical="center"/>
    </xf>
    <xf borderId="5" fillId="7" fontId="7" numFmtId="0" xfId="0" applyAlignment="1" applyBorder="1" applyFill="1" applyFont="1">
      <alignment horizontal="center" readingOrder="0" vertical="center"/>
    </xf>
    <xf borderId="1" fillId="13" fontId="10" numFmtId="0" xfId="0" applyAlignment="1" applyBorder="1" applyFill="1" applyFont="1">
      <alignment horizontal="left" readingOrder="0" vertical="center"/>
    </xf>
    <xf borderId="4" fillId="7" fontId="13" numFmtId="0" xfId="0" applyAlignment="1" applyBorder="1" applyFill="1" applyFont="1">
      <alignment horizontal="center" vertical="center"/>
    </xf>
    <xf borderId="4" fillId="7" fontId="10" numFmtId="0" xfId="0" applyAlignment="1" applyBorder="1" applyFill="1" applyFont="1">
      <alignment horizontal="left" shrinkToFit="0" vertical="center" wrapText="1"/>
    </xf>
    <xf borderId="1" fillId="10" fontId="18" numFmtId="0" xfId="0" applyAlignment="1" applyBorder="1" applyFill="1" applyFont="1">
      <alignment horizontal="left" vertical="center"/>
    </xf>
    <xf borderId="4" fillId="15" fontId="19" numFmtId="0" xfId="0" applyAlignment="1" applyBorder="1" applyFill="1" applyFont="1">
      <alignment horizontal="center" vertical="center"/>
    </xf>
    <xf borderId="1" fillId="4" fontId="5" numFmtId="0" xfId="0" applyAlignment="1" applyBorder="1" applyFill="1" applyFont="1">
      <alignment horizontal="left" vertical="center"/>
    </xf>
    <xf borderId="4" fillId="7" fontId="15" numFmtId="0" xfId="0" applyAlignment="1" applyBorder="1" applyFill="1" applyFont="1">
      <alignment horizontal="left" readingOrder="0" vertical="center"/>
    </xf>
    <xf borderId="1" fillId="11" fontId="10" numFmtId="0" xfId="0" applyAlignment="1" applyBorder="1" applyFill="1" applyFont="1">
      <alignment horizontal="left" readingOrder="0" vertical="center"/>
    </xf>
    <xf borderId="4" fillId="11" fontId="7" numFmtId="0" xfId="0" applyAlignment="1" applyBorder="1" applyFill="1" applyFont="1">
      <alignment horizontal="center" shrinkToFit="0" wrapText="0"/>
    </xf>
    <xf borderId="4" fillId="3" fontId="13" numFmtId="0" xfId="0" applyAlignment="1" applyBorder="1" applyFill="1" applyFont="1">
      <alignment horizontal="center" readingOrder="0" vertical="center"/>
    </xf>
    <xf borderId="4" fillId="12" fontId="14" numFmtId="0" xfId="0" applyAlignment="1" applyBorder="1" applyFill="1" applyFont="1">
      <alignment horizontal="center" shrinkToFit="0" wrapText="0"/>
    </xf>
    <xf borderId="1" fillId="6" fontId="4" numFmtId="0" xfId="0" applyAlignment="1" applyBorder="1" applyFill="1" applyFont="1">
      <alignment horizontal="left" vertical="center"/>
    </xf>
    <xf borderId="0" fillId="3" fontId="20" numFmtId="0" xfId="0" applyAlignment="1" applyFill="1" applyFont="1">
      <alignment readingOrder="0" vertical="center"/>
    </xf>
    <xf borderId="4" fillId="16" fontId="21" numFmtId="0" xfId="0" applyAlignment="1" applyBorder="1" applyFill="1" applyFont="1">
      <alignment horizontal="center" readingOrder="0" shrinkToFit="0" wrapText="0"/>
    </xf>
    <xf borderId="4" fillId="11" fontId="7" numFmtId="0" xfId="0" applyAlignment="1" applyBorder="1" applyFill="1" applyFont="1">
      <alignment horizontal="center" readingOrder="0" vertical="center"/>
    </xf>
    <xf borderId="4" fillId="3" fontId="9" numFmtId="0" xfId="0" applyAlignment="1" applyBorder="1" applyFill="1" applyFont="1">
      <alignment horizontal="center"/>
    </xf>
    <xf borderId="1" fillId="6" fontId="5" numFmtId="0" xfId="0" applyAlignment="1" applyBorder="1" applyFill="1" applyFont="1">
      <alignment horizontal="left" vertical="center"/>
    </xf>
    <xf borderId="0" fillId="0" fontId="20" numFmtId="0" xfId="0" applyAlignment="1" applyFont="1">
      <alignment readingOrder="0" vertical="center"/>
    </xf>
    <xf borderId="4" fillId="3" fontId="22" numFmtId="0" xfId="0" applyBorder="1" applyFill="1" applyFont="1"/>
    <xf borderId="6" fillId="12" fontId="3" numFmtId="0" xfId="0" applyAlignment="1" applyBorder="1" applyFill="1" applyFont="1">
      <alignment horizontal="left" readingOrder="0" shrinkToFit="0" vertical="top" wrapText="1"/>
    </xf>
    <xf borderId="4" fillId="7" fontId="23" numFmtId="0" xfId="0" applyAlignment="1" applyBorder="1" applyFill="1" applyFont="1">
      <alignment readingOrder="0" vertical="center"/>
    </xf>
    <xf borderId="7" fillId="0" fontId="2" numFmtId="0" xfId="0" applyBorder="1" applyFont="1"/>
    <xf borderId="4" fillId="6" fontId="24" numFmtId="0" xfId="0" applyAlignment="1" applyBorder="1" applyFill="1" applyFont="1">
      <alignment horizontal="left" vertical="center"/>
    </xf>
    <xf borderId="8" fillId="0" fontId="2" numFmtId="0" xfId="0" applyBorder="1" applyFont="1"/>
    <xf borderId="4" fillId="3" fontId="10" numFmtId="0" xfId="0" applyAlignment="1" applyBorder="1" applyFill="1" applyFont="1">
      <alignment readingOrder="0" vertical="center"/>
    </xf>
    <xf borderId="9" fillId="0" fontId="2" numFmtId="0" xfId="0" applyBorder="1" applyFont="1"/>
    <xf borderId="4" fillId="3" fontId="23" numFmtId="0" xfId="0" applyAlignment="1" applyBorder="1" applyFill="1" applyFont="1">
      <alignment readingOrder="0" vertical="center"/>
    </xf>
    <xf borderId="10" fillId="0" fontId="2" numFmtId="0" xfId="0" applyBorder="1" applyFont="1"/>
    <xf borderId="4" fillId="3" fontId="25" numFmtId="0" xfId="0" applyBorder="1" applyFill="1" applyFont="1"/>
    <xf borderId="4" fillId="4" fontId="24" numFmtId="0" xfId="0" applyAlignment="1" applyBorder="1" applyFill="1" applyFont="1">
      <alignment horizontal="center" vertical="center"/>
    </xf>
    <xf borderId="4" fillId="11" fontId="7" numFmtId="0" xfId="0" applyAlignment="1" applyBorder="1" applyFill="1" applyFont="1">
      <alignment horizontal="center"/>
    </xf>
    <xf borderId="11" fillId="0" fontId="2" numFmtId="0" xfId="0" applyBorder="1" applyFont="1"/>
    <xf borderId="4" fillId="8" fontId="24" numFmtId="0" xfId="0" applyAlignment="1" applyBorder="1" applyFill="1" applyFont="1">
      <alignment horizontal="center" vertical="center"/>
    </xf>
    <xf borderId="12" fillId="0" fontId="2" numFmtId="0" xfId="0" applyBorder="1" applyFont="1"/>
    <xf borderId="4" fillId="12" fontId="22" numFmtId="0" xfId="0" applyBorder="1" applyFill="1" applyFont="1"/>
    <xf borderId="13" fillId="0" fontId="2" numFmtId="0" xfId="0" applyBorder="1" applyFont="1"/>
    <xf borderId="4" fillId="13" fontId="17" numFmtId="0" xfId="0" applyAlignment="1" applyBorder="1" applyFill="1" applyFont="1">
      <alignment horizontal="center" readingOrder="0" vertical="center"/>
    </xf>
    <xf borderId="4" fillId="3" fontId="12" numFmtId="0" xfId="0" applyAlignment="1" applyBorder="1" applyFill="1" applyFont="1">
      <alignment horizontal="center"/>
    </xf>
    <xf borderId="4" fillId="7" fontId="6" numFmtId="0" xfId="0" applyAlignment="1" applyBorder="1" applyFill="1" applyFont="1">
      <alignment horizontal="left" readingOrder="0" shrinkToFit="0" vertical="center" wrapText="1"/>
    </xf>
    <xf borderId="4" fillId="13" fontId="16" numFmtId="0" xfId="0" applyAlignment="1" applyBorder="1" applyFill="1" applyFont="1">
      <alignment horizontal="center"/>
    </xf>
    <xf borderId="4" fillId="3" fontId="22" numFmtId="0" xfId="0" applyAlignment="1" applyBorder="1" applyFill="1" applyFont="1">
      <alignment readingOrder="0" vertical="center"/>
    </xf>
    <xf borderId="4" fillId="7" fontId="3" numFmtId="0" xfId="0" applyAlignment="1" applyBorder="1" applyFill="1" applyFont="1">
      <alignment horizontal="center" readingOrder="0" vertical="center"/>
    </xf>
    <xf borderId="0" fillId="7" fontId="26" numFmtId="0" xfId="0" applyFill="1" applyFont="1"/>
    <xf borderId="4" fillId="7" fontId="27" numFmtId="0" xfId="0" applyAlignment="1" applyBorder="1" applyFill="1" applyFont="1">
      <alignment horizontal="center" vertical="center"/>
    </xf>
    <xf borderId="4" fillId="7" fontId="25" numFmtId="0" xfId="0" applyBorder="1" applyFill="1" applyFont="1"/>
    <xf borderId="4" fillId="7" fontId="22" numFmtId="0" xfId="0" applyAlignment="1" applyBorder="1" applyFill="1" applyFont="1">
      <alignment readingOrder="0" vertical="center"/>
    </xf>
    <xf borderId="4" fillId="3" fontId="6" numFmtId="0" xfId="0" applyAlignment="1" applyBorder="1" applyFill="1" applyFont="1">
      <alignment horizontal="left" readingOrder="0" shrinkToFit="0" vertical="center" wrapText="1"/>
    </xf>
    <xf borderId="4" fillId="15" fontId="28" numFmtId="0" xfId="0" applyAlignment="1" applyBorder="1" applyFill="1" applyFont="1">
      <alignment horizontal="center"/>
    </xf>
    <xf borderId="4" fillId="3" fontId="3" numFmtId="0" xfId="0" applyAlignment="1" applyBorder="1" applyFill="1" applyFont="1">
      <alignment horizontal="center" readingOrder="0" vertical="center"/>
    </xf>
    <xf borderId="4" fillId="3" fontId="27" numFmtId="0" xfId="0" applyAlignment="1" applyBorder="1" applyFill="1" applyFont="1">
      <alignment horizontal="center" vertical="center"/>
    </xf>
    <xf borderId="4" fillId="13" fontId="16" numFmtId="0" xfId="0" applyAlignment="1" applyBorder="1" applyFill="1" applyFont="1">
      <alignment horizontal="center"/>
    </xf>
    <xf borderId="0" fillId="3" fontId="22" numFmtId="0" xfId="0" applyAlignment="1" applyFill="1" applyFont="1">
      <alignment readingOrder="0" vertical="center"/>
    </xf>
    <xf borderId="4" fillId="3" fontId="6" numFmtId="0" xfId="0" applyAlignment="1" applyBorder="1" applyFill="1" applyFont="1">
      <alignment horizontal="left" vertical="center"/>
    </xf>
    <xf borderId="0" fillId="3" fontId="22" numFmtId="0" xfId="0" applyFill="1" applyFont="1"/>
    <xf borderId="4" fillId="15" fontId="19" numFmtId="0" xfId="0" applyAlignment="1" applyBorder="1" applyFill="1" applyFont="1">
      <alignment horizontal="center" readingOrder="0" vertical="center"/>
    </xf>
    <xf borderId="4" fillId="3" fontId="29" numFmtId="0" xfId="0" applyAlignment="1" applyBorder="1" applyFill="1" applyFont="1">
      <alignment horizontal="center" vertical="center"/>
    </xf>
    <xf borderId="4" fillId="15" fontId="28" numFmtId="0" xfId="0" applyAlignment="1" applyBorder="1" applyFill="1" applyFont="1">
      <alignment horizontal="center"/>
    </xf>
    <xf borderId="0" fillId="7" fontId="20" numFmtId="0" xfId="0" applyAlignment="1" applyFill="1" applyFont="1">
      <alignment readingOrder="0" vertical="center"/>
    </xf>
    <xf borderId="4" fillId="3" fontId="11" numFmtId="0" xfId="0" applyBorder="1" applyFill="1" applyFont="1"/>
    <xf borderId="4" fillId="3" fontId="30" numFmtId="0" xfId="0" applyAlignment="1" applyBorder="1" applyFill="1" applyFont="1">
      <alignment readingOrder="0" vertical="center"/>
    </xf>
    <xf borderId="4" fillId="7" fontId="30" numFmtId="0" xfId="0" applyAlignment="1" applyBorder="1" applyFill="1" applyFont="1">
      <alignment readingOrder="0" vertical="center"/>
    </xf>
    <xf borderId="4" fillId="3" fontId="3" numFmtId="0" xfId="0" applyAlignment="1" applyBorder="1" applyFill="1" applyFont="1">
      <alignment horizontal="center" vertical="center"/>
    </xf>
    <xf borderId="0" fillId="3" fontId="13" numFmtId="0" xfId="0" applyAlignment="1" applyFill="1" applyFont="1">
      <alignment horizontal="center" readingOrder="0" vertical="center"/>
    </xf>
    <xf borderId="0" fillId="11" fontId="7" numFmtId="0" xfId="0" applyAlignment="1" applyFill="1" applyFont="1">
      <alignment horizontal="center" readingOrder="0" vertical="center"/>
    </xf>
    <xf borderId="0" fillId="12" fontId="14" numFmtId="0" xfId="0" applyAlignment="1" applyFill="1" applyFont="1">
      <alignment horizontal="center" readingOrder="0" vertical="center"/>
    </xf>
    <xf borderId="0" fillId="3" fontId="3" numFmtId="0" xfId="0" applyAlignment="1" applyFill="1" applyFont="1">
      <alignment horizontal="center" readingOrder="0" vertical="center"/>
    </xf>
    <xf borderId="0" fillId="13" fontId="17" numFmtId="0" xfId="0" applyAlignment="1" applyFill="1" applyFont="1">
      <alignment horizontal="center" readingOrder="0" vertical="center"/>
    </xf>
    <xf borderId="1" fillId="2" fontId="4" numFmtId="0" xfId="0" applyAlignment="1" applyBorder="1" applyFill="1" applyFont="1">
      <alignment horizontal="left" vertical="center"/>
    </xf>
    <xf borderId="5" fillId="4" fontId="31" numFmtId="0" xfId="0" applyAlignment="1" applyBorder="1" applyFill="1" applyFont="1">
      <alignment horizontal="center" vertical="center"/>
    </xf>
    <xf borderId="5" fillId="6" fontId="31" numFmtId="0" xfId="0" applyAlignment="1" applyBorder="1" applyFill="1" applyFont="1">
      <alignment horizontal="center" vertical="center"/>
    </xf>
    <xf borderId="5" fillId="6" fontId="4" numFmtId="9" xfId="0" applyAlignment="1" applyBorder="1" applyFill="1" applyFont="1" applyNumberFormat="1">
      <alignment horizontal="center" vertical="center"/>
    </xf>
    <xf borderId="5" fillId="2" fontId="6" numFmtId="0" xfId="0" applyAlignment="1" applyBorder="1" applyFill="1" applyFont="1">
      <alignment vertical="center"/>
    </xf>
    <xf borderId="1" fillId="10" fontId="10" numFmtId="0" xfId="0" applyAlignment="1" applyBorder="1" applyFill="1" applyFont="1">
      <alignment horizontal="left" vertical="center"/>
    </xf>
    <xf borderId="1" fillId="13" fontId="10" numFmtId="0" xfId="0" applyAlignment="1" applyBorder="1" applyFill="1" applyFont="1">
      <alignment horizontal="left" vertical="center"/>
    </xf>
    <xf borderId="1" fillId="11" fontId="10" numFmtId="0" xfId="0" applyAlignment="1" applyBorder="1" applyFill="1" applyFont="1">
      <alignment horizontal="left" vertical="center"/>
    </xf>
    <xf borderId="4" fillId="7" fontId="6" numFmtId="0" xfId="0" applyAlignment="1" applyBorder="1" applyFill="1" applyFont="1">
      <alignment horizontal="left" vertical="center"/>
    </xf>
    <xf borderId="4" fillId="7" fontId="29" numFmtId="0" xfId="0" applyAlignment="1" applyBorder="1" applyFill="1" applyFont="1">
      <alignment horizontal="center" vertical="center"/>
    </xf>
    <xf borderId="4" fillId="2" fontId="24" numFmtId="0" xfId="0" applyAlignment="1" applyBorder="1" applyFill="1" applyFont="1">
      <alignment horizontal="center" shrinkToFit="0" vertical="center" wrapText="1"/>
    </xf>
    <xf borderId="4" fillId="4" fontId="24" numFmtId="0" xfId="0" applyAlignment="1" applyBorder="1" applyFill="1" applyFont="1">
      <alignment horizontal="center" shrinkToFit="0" vertical="center" wrapText="1"/>
    </xf>
    <xf borderId="4" fillId="6" fontId="24" numFmtId="0" xfId="0" applyAlignment="1" applyBorder="1" applyFill="1" applyFont="1">
      <alignment horizontal="center" shrinkToFit="0" vertical="center" wrapText="1"/>
    </xf>
    <xf borderId="4" fillId="5" fontId="24" numFmtId="0" xfId="0" applyAlignment="1" applyBorder="1" applyFill="1" applyFont="1">
      <alignment horizontal="center" shrinkToFit="0" vertical="center" wrapText="1"/>
    </xf>
    <xf borderId="4" fillId="9" fontId="24" numFmtId="0" xfId="0" applyAlignment="1" applyBorder="1" applyFill="1" applyFont="1">
      <alignment horizontal="center" shrinkToFit="0" vertical="center" wrapText="1"/>
    </xf>
    <xf borderId="4" fillId="7" fontId="32" numFmtId="0" xfId="0" applyAlignment="1" applyBorder="1" applyFill="1" applyFont="1">
      <alignment horizontal="center" vertical="center"/>
    </xf>
    <xf borderId="4" fillId="7" fontId="3" numFmtId="164" xfId="0" applyAlignment="1" applyBorder="1" applyFill="1" applyFont="1" applyNumberFormat="1">
      <alignment horizontal="center" readingOrder="0" vertical="center"/>
    </xf>
    <xf borderId="4" fillId="11" fontId="7" numFmtId="165" xfId="0" applyAlignment="1" applyBorder="1" applyFill="1" applyFont="1" applyNumberFormat="1">
      <alignment horizontal="center" vertical="center"/>
    </xf>
    <xf borderId="4" fillId="10" fontId="33" numFmtId="0" xfId="0" applyAlignment="1" applyBorder="1" applyFill="1" applyFont="1">
      <alignment horizontal="center" vertical="center"/>
    </xf>
    <xf borderId="4" fillId="13" fontId="34" numFmtId="0" xfId="0" applyAlignment="1" applyBorder="1" applyFill="1" applyFont="1">
      <alignment horizontal="center" vertical="center"/>
    </xf>
    <xf borderId="4" fillId="3" fontId="32" numFmtId="0" xfId="0" applyAlignment="1" applyBorder="1" applyFill="1" applyFont="1">
      <alignment horizontal="center" vertical="center"/>
    </xf>
    <xf borderId="4" fillId="3" fontId="3" numFmtId="164" xfId="0" applyAlignment="1" applyBorder="1" applyFill="1" applyFont="1" applyNumberFormat="1">
      <alignment horizontal="center" readingOrder="0" vertical="center"/>
    </xf>
    <xf borderId="4" fillId="7" fontId="3" numFmtId="0" xfId="0" applyAlignment="1" applyBorder="1" applyFill="1" applyFont="1">
      <alignment horizontal="center" vertical="center"/>
    </xf>
    <xf borderId="2" fillId="3" fontId="3" numFmtId="0" xfId="0" applyAlignment="1" applyBorder="1" applyFill="1" applyFont="1">
      <alignment horizontal="left" vertical="center"/>
    </xf>
    <xf borderId="3" fillId="3" fontId="35" numFmtId="0" xfId="0" applyAlignment="1" applyBorder="1" applyFill="1" applyFont="1">
      <alignment horizontal="left" readingOrder="0" vertical="center"/>
    </xf>
    <xf borderId="5" fillId="7" fontId="6" numFmtId="0" xfId="0" applyAlignment="1" applyBorder="1" applyFill="1" applyFont="1">
      <alignment horizontal="left" vertical="center"/>
    </xf>
    <xf borderId="5" fillId="11" fontId="36" numFmtId="3" xfId="0" applyAlignment="1" applyBorder="1" applyFill="1" applyFont="1" applyNumberFormat="1">
      <alignment horizontal="center" vertical="center"/>
    </xf>
    <xf borderId="5" fillId="7" fontId="8" numFmtId="0" xfId="0" applyAlignment="1" applyBorder="1" applyFill="1" applyFont="1">
      <alignment horizontal="left" vertical="center"/>
    </xf>
    <xf borderId="5" fillId="7" fontId="32" numFmtId="0" xfId="0" applyAlignment="1" applyBorder="1" applyFill="1" applyFont="1">
      <alignment horizontal="center" readingOrder="0" vertical="center"/>
    </xf>
    <xf borderId="5" fillId="3" fontId="32" numFmtId="0" xfId="0" applyAlignment="1" applyBorder="1" applyFill="1" applyFont="1">
      <alignment horizontal="center" readingOrder="0" vertical="center"/>
    </xf>
    <xf borderId="4" fillId="12" fontId="14" numFmtId="0" xfId="0" applyAlignment="1" applyBorder="1" applyFill="1" applyFont="1">
      <alignment horizontal="center" vertical="center"/>
    </xf>
    <xf borderId="5" fillId="11" fontId="36" numFmtId="166" xfId="0" applyAlignment="1" applyBorder="1" applyFill="1" applyFont="1" applyNumberFormat="1">
      <alignment horizontal="center" vertical="center"/>
    </xf>
    <xf borderId="5" fillId="3" fontId="32" numFmtId="10" xfId="0" applyAlignment="1" applyBorder="1" applyFill="1" applyFont="1" applyNumberFormat="1">
      <alignment horizontal="center" readingOrder="0" vertical="center"/>
    </xf>
    <xf borderId="5" fillId="11" fontId="36" numFmtId="167" xfId="0" applyAlignment="1" applyBorder="1" applyFill="1" applyFont="1" applyNumberFormat="1">
      <alignment horizontal="center" vertical="center"/>
    </xf>
    <xf borderId="5" fillId="11" fontId="36" numFmtId="165" xfId="0" applyAlignment="1" applyBorder="1" applyFill="1" applyFont="1" applyNumberFormat="1">
      <alignment horizontal="center" vertical="center"/>
    </xf>
    <xf borderId="5" fillId="11" fontId="36" numFmtId="2" xfId="0" applyAlignment="1" applyBorder="1" applyFill="1" applyFont="1" applyNumberFormat="1">
      <alignment horizontal="center" vertical="center"/>
    </xf>
    <xf borderId="1" fillId="8" fontId="4" numFmtId="0" xfId="0" applyAlignment="1" applyBorder="1" applyFill="1" applyFont="1">
      <alignment horizontal="left" vertical="center"/>
    </xf>
    <xf borderId="1" fillId="3" fontId="13" numFmtId="0" xfId="0" applyAlignment="1" applyBorder="1" applyFill="1" applyFont="1">
      <alignment horizontal="left" vertical="center"/>
    </xf>
    <xf borderId="5" fillId="10" fontId="37" numFmtId="0" xfId="0" applyAlignment="1" applyBorder="1" applyFill="1" applyFont="1">
      <alignment horizontal="left" vertical="center"/>
    </xf>
    <xf borderId="5" fillId="11" fontId="38" numFmtId="0" xfId="0" applyAlignment="1" applyBorder="1" applyFill="1" applyFont="1">
      <alignment horizontal="left" vertical="center"/>
    </xf>
    <xf borderId="5" fillId="15" fontId="19" numFmtId="0" xfId="0" applyAlignment="1" applyBorder="1" applyFill="1" applyFont="1">
      <alignment horizontal="left" vertical="center"/>
    </xf>
    <xf borderId="1" fillId="15" fontId="10" numFmtId="0" xfId="0" applyAlignment="1" applyBorder="1" applyFill="1" applyFont="1">
      <alignment horizontal="left" vertical="center"/>
    </xf>
    <xf borderId="5" fillId="13" fontId="17" numFmtId="0" xfId="0" applyAlignment="1" applyBorder="1" applyFill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Burndown Chart — SP Restantes</a:t>
            </a:r>
          </a:p>
        </c:rich>
      </c:tx>
      <c:overlay val="0"/>
    </c:title>
    <c:plotArea>
      <c:layout/>
      <c:lineChart>
        <c:ser>
          <c:idx val="0"/>
          <c:order val="0"/>
          <c:tx>
            <c:v>SP Restantes (Ideal)</c:v>
          </c:tx>
          <c:spPr>
            <a:ln cmpd="sng" w="19050">
              <a:solidFill>
                <a:srgbClr val="64748B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'📉 Burndown - Sprint 2'!$B$4:$B$9</c:f>
            </c:strRef>
          </c:cat>
          <c:val>
            <c:numRef>
              <c:f>'📉 Burndown - Sprint 2'!$D$4:$D$9</c:f>
              <c:numCache/>
            </c:numRef>
          </c:val>
          <c:smooth val="0"/>
        </c:ser>
        <c:ser>
          <c:idx val="1"/>
          <c:order val="1"/>
          <c:tx>
            <c:v>SP Restantes (Real)</c:v>
          </c:tx>
          <c:spPr>
            <a:ln cmpd="sng" w="19050">
              <a:solidFill>
                <a:srgbClr val="B5232A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'📉 Burndown - Sprint 2'!$B$4:$B$9</c:f>
            </c:strRef>
          </c:cat>
          <c:val>
            <c:numRef>
              <c:f>'📉 Burndown - Sprint 2'!$G$4:$G$9</c:f>
              <c:numCache/>
            </c:numRef>
          </c:val>
          <c:smooth val="0"/>
        </c:ser>
        <c:axId val="908951445"/>
        <c:axId val="985587233"/>
      </c:lineChart>
      <c:catAx>
        <c:axId val="9089514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Sesión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85587233"/>
      </c:catAx>
      <c:valAx>
        <c:axId val="9855872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Story Points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08951445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Burndown Chart — SP Restantes</a:t>
            </a:r>
          </a:p>
        </c:rich>
      </c:tx>
      <c:overlay val="0"/>
    </c:title>
    <c:plotArea>
      <c:layout/>
      <c:lineChart>
        <c:ser>
          <c:idx val="0"/>
          <c:order val="0"/>
          <c:tx>
            <c:v>SP Restantes (Ideal)</c:v>
          </c:tx>
          <c:spPr>
            <a:ln cmpd="sng" w="19050">
              <a:solidFill>
                <a:srgbClr val="64748B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'📉 Burndown'!$B$4:$B$9</c:f>
            </c:strRef>
          </c:cat>
          <c:val>
            <c:numRef>
              <c:f>'📉 Burndown'!$D$4:$D$9</c:f>
              <c:numCache/>
            </c:numRef>
          </c:val>
          <c:smooth val="0"/>
        </c:ser>
        <c:ser>
          <c:idx val="1"/>
          <c:order val="1"/>
          <c:tx>
            <c:v>SP Restantes (Real)</c:v>
          </c:tx>
          <c:spPr>
            <a:ln cmpd="sng" w="19050">
              <a:solidFill>
                <a:srgbClr val="B5232A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'📉 Burndown'!$B$4:$B$9</c:f>
            </c:strRef>
          </c:cat>
          <c:val>
            <c:numRef>
              <c:f>'📉 Burndown'!$G$4:$G$9</c:f>
              <c:numCache/>
            </c:numRef>
          </c:val>
          <c:smooth val="0"/>
        </c:ser>
        <c:axId val="1229107368"/>
        <c:axId val="1760722459"/>
      </c:lineChart>
      <c:catAx>
        <c:axId val="1229107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Sesión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60722459"/>
      </c:catAx>
      <c:valAx>
        <c:axId val="17607224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Story Points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29107368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10</xdr:row>
      <xdr:rowOff>123825</xdr:rowOff>
    </xdr:from>
    <xdr:ext cx="5791200" cy="3209925"/>
    <xdr:graphicFrame>
      <xdr:nvGraphicFramePr>
        <xdr:cNvPr id="209673468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10</xdr:row>
      <xdr:rowOff>123825</xdr:rowOff>
    </xdr:from>
    <xdr:ext cx="5791200" cy="3209925"/>
    <xdr:graphicFrame>
      <xdr:nvGraphicFramePr>
        <xdr:cNvPr id="1599062631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3.86"/>
    <col customWidth="1" min="3" max="3" width="24.86"/>
    <col customWidth="1" min="4" max="4" width="28.57"/>
    <col customWidth="1" min="5" max="5" width="3.0"/>
    <col customWidth="1" min="6" max="26" width="8.71"/>
  </cols>
  <sheetData>
    <row r="1">
      <c r="B1" s="1" t="s">
        <v>0</v>
      </c>
      <c r="C1" s="2"/>
      <c r="D1" s="3"/>
    </row>
    <row r="2">
      <c r="B2" s="4" t="s">
        <v>3</v>
      </c>
      <c r="C2" s="2"/>
      <c r="D2" s="3"/>
    </row>
    <row r="3">
      <c r="B3" s="6" t="s">
        <v>6</v>
      </c>
      <c r="C3" s="2"/>
      <c r="D3" s="3"/>
    </row>
    <row r="4" ht="19.5" customHeight="1">
      <c r="B4" s="9" t="s">
        <v>12</v>
      </c>
      <c r="C4" s="11" t="s">
        <v>15</v>
      </c>
      <c r="D4" s="13" t="s">
        <v>17</v>
      </c>
    </row>
    <row r="5" ht="19.5" customHeight="1">
      <c r="B5" s="9" t="s">
        <v>19</v>
      </c>
      <c r="C5" s="11">
        <v>1.0</v>
      </c>
      <c r="D5" s="13" t="s">
        <v>21</v>
      </c>
    </row>
    <row r="6" ht="19.5" customHeight="1">
      <c r="B6" s="9" t="s">
        <v>23</v>
      </c>
      <c r="C6" s="11" t="s">
        <v>24</v>
      </c>
      <c r="D6" s="13" t="s">
        <v>25</v>
      </c>
    </row>
    <row r="7" ht="19.5" customHeight="1">
      <c r="B7" s="9" t="s">
        <v>27</v>
      </c>
      <c r="C7" s="18">
        <v>46265.0</v>
      </c>
      <c r="D7" s="13" t="s">
        <v>29</v>
      </c>
    </row>
    <row r="8" ht="19.5" customHeight="1">
      <c r="B8" s="9" t="s">
        <v>30</v>
      </c>
      <c r="C8" s="18">
        <v>46282.0</v>
      </c>
      <c r="D8" s="13" t="s">
        <v>29</v>
      </c>
    </row>
    <row r="9" ht="19.5" customHeight="1">
      <c r="B9" s="9" t="s">
        <v>32</v>
      </c>
      <c r="C9" s="11">
        <v>6.0</v>
      </c>
      <c r="D9" s="13" t="s">
        <v>33</v>
      </c>
    </row>
    <row r="10" ht="19.5" customHeight="1">
      <c r="B10" s="9" t="s">
        <v>35</v>
      </c>
      <c r="C10" s="11">
        <f>'📋 Sprint 1 - Backlog'!E27</f>
        <v>28</v>
      </c>
      <c r="D10" s="13" t="s">
        <v>46</v>
      </c>
    </row>
    <row r="11" ht="19.5" customHeight="1">
      <c r="B11" s="9" t="s">
        <v>47</v>
      </c>
      <c r="C11" s="11">
        <v>0.0</v>
      </c>
      <c r="D11" s="13" t="s">
        <v>48</v>
      </c>
    </row>
    <row r="12" ht="19.5" customHeight="1">
      <c r="B12" s="9" t="s">
        <v>51</v>
      </c>
      <c r="C12" s="32">
        <v>5.0</v>
      </c>
      <c r="D12" s="13" t="s">
        <v>57</v>
      </c>
    </row>
    <row r="13">
      <c r="B13" s="6" t="s">
        <v>60</v>
      </c>
      <c r="C13" s="2"/>
      <c r="D13" s="3"/>
    </row>
    <row r="14">
      <c r="B14" s="36" t="s">
        <v>66</v>
      </c>
      <c r="C14" s="2"/>
      <c r="D14" s="3"/>
    </row>
    <row r="15">
      <c r="B15" s="36" t="s">
        <v>74</v>
      </c>
      <c r="C15" s="2"/>
      <c r="D15" s="3"/>
    </row>
    <row r="16">
      <c r="B16" s="36" t="s">
        <v>79</v>
      </c>
      <c r="C16" s="2"/>
      <c r="D16" s="3"/>
    </row>
    <row r="17">
      <c r="B17" s="44" t="s">
        <v>85</v>
      </c>
      <c r="C17" s="2"/>
      <c r="D17" s="3"/>
    </row>
    <row r="18" ht="15.0" customHeight="1">
      <c r="B18" s="52" t="s">
        <v>90</v>
      </c>
      <c r="C18" s="54"/>
      <c r="D18" s="56"/>
    </row>
    <row r="19" ht="15.75" customHeight="1">
      <c r="B19" s="58"/>
      <c r="D19" s="60"/>
    </row>
    <row r="20" ht="15.75" customHeight="1">
      <c r="B20" s="58"/>
      <c r="D20" s="60"/>
    </row>
    <row r="21" ht="15.75" customHeight="1">
      <c r="B21" s="64"/>
      <c r="C21" s="66"/>
      <c r="D21" s="6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9">
    <mergeCell ref="B17:D17"/>
    <mergeCell ref="B18:D21"/>
    <mergeCell ref="B1:D1"/>
    <mergeCell ref="B2:D2"/>
    <mergeCell ref="B3:D3"/>
    <mergeCell ref="B13:D13"/>
    <mergeCell ref="B14:D14"/>
    <mergeCell ref="B15:D15"/>
    <mergeCell ref="B16:D1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3.0"/>
    <col customWidth="1" min="2" max="2" width="9.0"/>
    <col customWidth="1" min="3" max="3" width="104.14"/>
    <col customWidth="1" min="4" max="4" width="14.29"/>
    <col customWidth="1" min="5" max="5" width="14.86"/>
    <col customWidth="1" min="6" max="6" width="17.86"/>
    <col customWidth="1" min="7" max="7" width="14.43"/>
    <col customWidth="1" min="8" max="8" width="10.29"/>
    <col customWidth="1" min="9" max="26" width="8.71"/>
  </cols>
  <sheetData>
    <row r="1">
      <c r="B1" s="1" t="s">
        <v>1</v>
      </c>
      <c r="C1" s="2"/>
      <c r="D1" s="2"/>
      <c r="E1" s="2"/>
      <c r="F1" s="2"/>
      <c r="G1" s="2"/>
      <c r="H1" s="3"/>
    </row>
    <row r="2">
      <c r="B2" s="4" t="s">
        <v>4</v>
      </c>
      <c r="C2" s="2"/>
      <c r="D2" s="2"/>
      <c r="E2" s="2"/>
      <c r="F2" s="2"/>
      <c r="G2" s="2"/>
      <c r="H2" s="3"/>
    </row>
    <row r="3" ht="25.5" customHeight="1">
      <c r="B3" s="5" t="s">
        <v>7</v>
      </c>
      <c r="C3" s="5" t="s">
        <v>8</v>
      </c>
      <c r="D3" s="5" t="s">
        <v>10</v>
      </c>
      <c r="E3" s="8" t="s">
        <v>11</v>
      </c>
      <c r="F3" s="10" t="s">
        <v>14</v>
      </c>
      <c r="G3" s="12" t="s">
        <v>16</v>
      </c>
      <c r="H3" s="14" t="s">
        <v>18</v>
      </c>
    </row>
    <row r="4" ht="30.0" customHeight="1">
      <c r="B4" s="20" t="s">
        <v>22</v>
      </c>
      <c r="C4" s="22" t="s">
        <v>34</v>
      </c>
      <c r="D4" s="24" t="s">
        <v>36</v>
      </c>
      <c r="E4" s="26">
        <v>5.0</v>
      </c>
      <c r="F4" s="28">
        <v>5.0</v>
      </c>
      <c r="G4" s="30" t="s">
        <v>43</v>
      </c>
      <c r="H4" s="31" t="s">
        <v>39</v>
      </c>
    </row>
    <row r="5" ht="30.0" customHeight="1">
      <c r="B5" s="34" t="s">
        <v>54</v>
      </c>
      <c r="C5" s="35" t="s">
        <v>62</v>
      </c>
      <c r="D5" s="24" t="s">
        <v>36</v>
      </c>
      <c r="E5" s="26">
        <v>3.0</v>
      </c>
      <c r="F5" s="28">
        <v>3.0</v>
      </c>
      <c r="G5" s="30" t="s">
        <v>43</v>
      </c>
      <c r="H5" s="31" t="s">
        <v>39</v>
      </c>
    </row>
    <row r="6" ht="30.0" customHeight="1">
      <c r="B6" s="20" t="s">
        <v>65</v>
      </c>
      <c r="C6" s="22" t="s">
        <v>68</v>
      </c>
      <c r="D6" s="24" t="s">
        <v>36</v>
      </c>
      <c r="E6" s="26">
        <v>3.0</v>
      </c>
      <c r="F6" s="28">
        <v>3.0</v>
      </c>
      <c r="G6" s="30" t="s">
        <v>43</v>
      </c>
      <c r="H6" s="37" t="s">
        <v>70</v>
      </c>
    </row>
    <row r="7" ht="30.0" customHeight="1">
      <c r="B7" s="34" t="s">
        <v>75</v>
      </c>
      <c r="C7" s="35" t="s">
        <v>77</v>
      </c>
      <c r="D7" s="39" t="s">
        <v>63</v>
      </c>
      <c r="E7" s="26">
        <v>2.0</v>
      </c>
      <c r="F7" s="28">
        <v>2.0</v>
      </c>
      <c r="G7" s="30" t="s">
        <v>43</v>
      </c>
      <c r="H7" s="31" t="s">
        <v>39</v>
      </c>
    </row>
    <row r="8" ht="30.0" customHeight="1">
      <c r="B8" s="42" t="s">
        <v>84</v>
      </c>
      <c r="C8" s="45" t="s">
        <v>87</v>
      </c>
      <c r="D8" s="24" t="s">
        <v>36</v>
      </c>
      <c r="E8" s="47">
        <v>0.5</v>
      </c>
      <c r="F8" s="28">
        <v>0.5</v>
      </c>
      <c r="G8" s="30" t="s">
        <v>43</v>
      </c>
      <c r="H8" s="37" t="s">
        <v>70</v>
      </c>
    </row>
    <row r="9" ht="30.0" customHeight="1">
      <c r="B9" s="42" t="s">
        <v>94</v>
      </c>
      <c r="C9" s="50" t="s">
        <v>95</v>
      </c>
      <c r="D9" s="53" t="s">
        <v>96</v>
      </c>
      <c r="E9" s="47">
        <v>1.0</v>
      </c>
      <c r="F9" s="28">
        <v>1.0</v>
      </c>
      <c r="G9" s="30" t="s">
        <v>43</v>
      </c>
      <c r="H9" s="31" t="s">
        <v>39</v>
      </c>
    </row>
    <row r="10" ht="30.0" customHeight="1">
      <c r="B10" s="42" t="s">
        <v>98</v>
      </c>
      <c r="C10" s="57" t="s">
        <v>99</v>
      </c>
      <c r="D10" s="59" t="s">
        <v>56</v>
      </c>
      <c r="E10" s="47">
        <v>0.5</v>
      </c>
      <c r="F10" s="28">
        <v>0.5</v>
      </c>
      <c r="G10" s="30" t="s">
        <v>43</v>
      </c>
      <c r="H10" s="31" t="s">
        <v>39</v>
      </c>
    </row>
    <row r="11" ht="30.0" customHeight="1">
      <c r="B11" s="42" t="s">
        <v>100</v>
      </c>
      <c r="C11" s="50" t="s">
        <v>101</v>
      </c>
      <c r="D11" s="53" t="s">
        <v>96</v>
      </c>
      <c r="E11" s="47">
        <v>0.5</v>
      </c>
      <c r="F11" s="28">
        <v>0.5</v>
      </c>
      <c r="G11" s="30" t="s">
        <v>43</v>
      </c>
      <c r="H11" s="31" t="s">
        <v>39</v>
      </c>
    </row>
    <row r="12" ht="30.0" customHeight="1">
      <c r="B12" s="42" t="s">
        <v>102</v>
      </c>
      <c r="C12" s="50" t="s">
        <v>104</v>
      </c>
      <c r="D12" s="53" t="s">
        <v>96</v>
      </c>
      <c r="E12" s="47">
        <v>0.5</v>
      </c>
      <c r="F12" s="28">
        <v>0.0</v>
      </c>
      <c r="G12" s="30" t="s">
        <v>43</v>
      </c>
      <c r="H12" s="69" t="s">
        <v>39</v>
      </c>
    </row>
    <row r="13" ht="30.0" customHeight="1">
      <c r="B13" s="42" t="s">
        <v>106</v>
      </c>
      <c r="C13" s="73" t="s">
        <v>107</v>
      </c>
      <c r="D13" s="59" t="s">
        <v>56</v>
      </c>
      <c r="E13" s="47">
        <v>1.0</v>
      </c>
      <c r="F13" s="28">
        <v>1.0</v>
      </c>
      <c r="G13" s="30" t="s">
        <v>43</v>
      </c>
      <c r="H13" s="37" t="s">
        <v>70</v>
      </c>
    </row>
    <row r="14" ht="31.5" customHeight="1">
      <c r="B14" s="42" t="s">
        <v>109</v>
      </c>
      <c r="C14" s="78" t="s">
        <v>110</v>
      </c>
      <c r="D14" s="53" t="s">
        <v>56</v>
      </c>
      <c r="E14" s="47">
        <v>1.0</v>
      </c>
      <c r="F14" s="28">
        <v>1.0</v>
      </c>
      <c r="G14" s="30" t="s">
        <v>43</v>
      </c>
      <c r="H14" s="31" t="s">
        <v>39</v>
      </c>
    </row>
    <row r="15" ht="31.5" customHeight="1">
      <c r="B15" s="42" t="s">
        <v>113</v>
      </c>
      <c r="C15" s="73" t="s">
        <v>114</v>
      </c>
      <c r="D15" s="53" t="s">
        <v>96</v>
      </c>
      <c r="E15" s="47">
        <v>0.5</v>
      </c>
      <c r="F15" s="28">
        <v>0.5</v>
      </c>
      <c r="G15" s="30" t="s">
        <v>43</v>
      </c>
      <c r="H15" s="37" t="s">
        <v>70</v>
      </c>
    </row>
    <row r="16" ht="31.5" customHeight="1">
      <c r="B16" s="42" t="s">
        <v>115</v>
      </c>
      <c r="C16" s="84" t="s">
        <v>116</v>
      </c>
      <c r="D16" s="53" t="s">
        <v>96</v>
      </c>
      <c r="E16" s="47">
        <v>0.5</v>
      </c>
      <c r="F16" s="28">
        <v>0.5</v>
      </c>
      <c r="G16" s="30" t="s">
        <v>43</v>
      </c>
      <c r="H16" s="87" t="s">
        <v>70</v>
      </c>
    </row>
    <row r="17" ht="30.0" customHeight="1">
      <c r="B17" s="42" t="s">
        <v>119</v>
      </c>
      <c r="C17" s="90" t="s">
        <v>120</v>
      </c>
      <c r="D17" s="24" t="s">
        <v>36</v>
      </c>
      <c r="E17" s="47">
        <v>1.0</v>
      </c>
      <c r="F17" s="28">
        <v>0.0</v>
      </c>
      <c r="G17" s="30" t="s">
        <v>43</v>
      </c>
      <c r="H17" s="31" t="s">
        <v>39</v>
      </c>
    </row>
    <row r="18" ht="30.75" customHeight="1">
      <c r="B18" s="42" t="s">
        <v>121</v>
      </c>
      <c r="C18" s="92" t="s">
        <v>122</v>
      </c>
      <c r="D18" s="53" t="s">
        <v>96</v>
      </c>
      <c r="E18" s="47">
        <v>1.0</v>
      </c>
      <c r="F18" s="28">
        <v>1.0</v>
      </c>
      <c r="G18" s="30" t="s">
        <v>43</v>
      </c>
      <c r="H18" s="31" t="s">
        <v>39</v>
      </c>
    </row>
    <row r="19" ht="30.75" customHeight="1">
      <c r="B19" s="42" t="s">
        <v>123</v>
      </c>
      <c r="C19" s="92" t="s">
        <v>124</v>
      </c>
      <c r="D19" s="53" t="s">
        <v>96</v>
      </c>
      <c r="E19" s="47">
        <v>0.5</v>
      </c>
      <c r="F19" s="28">
        <v>0.5</v>
      </c>
      <c r="G19" s="30" t="s">
        <v>43</v>
      </c>
      <c r="H19" s="69" t="s">
        <v>39</v>
      </c>
    </row>
    <row r="20" ht="30.75" customHeight="1">
      <c r="B20" s="42" t="s">
        <v>125</v>
      </c>
      <c r="C20" s="92" t="s">
        <v>126</v>
      </c>
      <c r="D20" s="53" t="s">
        <v>96</v>
      </c>
      <c r="E20" s="47">
        <v>0.5</v>
      </c>
      <c r="F20" s="28">
        <v>0.5</v>
      </c>
      <c r="G20" s="30" t="s">
        <v>43</v>
      </c>
      <c r="H20" s="69" t="s">
        <v>39</v>
      </c>
    </row>
    <row r="21" ht="29.25" customHeight="1">
      <c r="B21" s="42" t="s">
        <v>127</v>
      </c>
      <c r="C21" s="93" t="s">
        <v>128</v>
      </c>
      <c r="D21" s="53" t="s">
        <v>56</v>
      </c>
      <c r="E21" s="47">
        <v>0.5</v>
      </c>
      <c r="F21" s="28">
        <v>0.5</v>
      </c>
      <c r="G21" s="30" t="s">
        <v>43</v>
      </c>
      <c r="H21" s="31" t="s">
        <v>39</v>
      </c>
    </row>
    <row r="22" ht="30.75" customHeight="1">
      <c r="B22" s="42" t="s">
        <v>129</v>
      </c>
      <c r="C22" s="92" t="s">
        <v>130</v>
      </c>
      <c r="D22" s="59" t="s">
        <v>56</v>
      </c>
      <c r="E22" s="47">
        <v>0.5</v>
      </c>
      <c r="F22" s="28">
        <v>0.5</v>
      </c>
      <c r="G22" s="30" t="s">
        <v>43</v>
      </c>
      <c r="H22" s="69" t="s">
        <v>39</v>
      </c>
    </row>
    <row r="23" ht="29.25" customHeight="1">
      <c r="B23" s="42" t="s">
        <v>131</v>
      </c>
      <c r="C23" s="90" t="s">
        <v>132</v>
      </c>
      <c r="D23" s="24" t="s">
        <v>36</v>
      </c>
      <c r="E23" s="47">
        <v>1.0</v>
      </c>
      <c r="F23" s="28">
        <v>1.0</v>
      </c>
      <c r="G23" s="30" t="s">
        <v>43</v>
      </c>
      <c r="H23" s="37" t="s">
        <v>70</v>
      </c>
    </row>
    <row r="24" ht="30.75" customHeight="1">
      <c r="B24" s="42" t="s">
        <v>133</v>
      </c>
      <c r="C24" s="73" t="s">
        <v>134</v>
      </c>
      <c r="D24" s="24" t="s">
        <v>36</v>
      </c>
      <c r="E24" s="47">
        <v>2.0</v>
      </c>
      <c r="F24" s="28">
        <v>0.0</v>
      </c>
      <c r="G24" s="94" t="s">
        <v>38</v>
      </c>
      <c r="H24" s="31" t="s">
        <v>39</v>
      </c>
    </row>
    <row r="25" ht="33.0" customHeight="1">
      <c r="B25" s="42" t="s">
        <v>135</v>
      </c>
      <c r="C25" s="90" t="s">
        <v>136</v>
      </c>
      <c r="D25" s="24" t="s">
        <v>36</v>
      </c>
      <c r="E25" s="47">
        <v>1.0</v>
      </c>
      <c r="F25" s="28">
        <v>0.0</v>
      </c>
      <c r="G25" s="94" t="s">
        <v>38</v>
      </c>
      <c r="H25" s="31" t="s">
        <v>39</v>
      </c>
    </row>
    <row r="26" ht="33.0" customHeight="1">
      <c r="B26" s="95" t="s">
        <v>137</v>
      </c>
      <c r="C26" s="90" t="s">
        <v>138</v>
      </c>
      <c r="D26" s="24" t="s">
        <v>36</v>
      </c>
      <c r="E26" s="96">
        <v>1.0</v>
      </c>
      <c r="F26" s="97">
        <v>0.0</v>
      </c>
      <c r="G26" s="98" t="s">
        <v>38</v>
      </c>
      <c r="H26" s="99" t="s">
        <v>39</v>
      </c>
    </row>
    <row r="27" ht="31.5" customHeight="1">
      <c r="B27" s="100" t="s">
        <v>139</v>
      </c>
      <c r="C27" s="2"/>
      <c r="D27" s="3"/>
      <c r="E27" s="101">
        <f>SUM(E4:E26)</f>
        <v>28</v>
      </c>
      <c r="F27" s="102">
        <f>SUM(F4:F11)</f>
        <v>15.5</v>
      </c>
      <c r="G27" s="103">
        <f>IFERROR(F27/E27,0)</f>
        <v>0.5535714286</v>
      </c>
      <c r="H27" s="10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3">
    <mergeCell ref="B1:H1"/>
    <mergeCell ref="B2:H2"/>
    <mergeCell ref="B27:D27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3.0"/>
    <col customWidth="1" min="3" max="3" width="40.0"/>
    <col customWidth="1" min="4" max="4" width="22.0"/>
    <col customWidth="1" min="5" max="5" width="14.0"/>
    <col customWidth="1" min="6" max="6" width="3.0"/>
    <col customWidth="1" min="7" max="26" width="8.71"/>
  </cols>
  <sheetData>
    <row r="1">
      <c r="C1" s="1" t="s">
        <v>2</v>
      </c>
      <c r="D1" s="2"/>
      <c r="E1" s="3"/>
    </row>
    <row r="2">
      <c r="C2" s="4" t="s">
        <v>5</v>
      </c>
      <c r="D2" s="2"/>
      <c r="E2" s="3"/>
    </row>
    <row r="3">
      <c r="C3" s="7" t="s">
        <v>9</v>
      </c>
      <c r="D3" s="2"/>
      <c r="E3" s="3"/>
    </row>
    <row r="4">
      <c r="C4" s="16" t="s">
        <v>13</v>
      </c>
      <c r="D4" s="2"/>
      <c r="E4" s="3"/>
    </row>
    <row r="5">
      <c r="C5" s="16" t="s">
        <v>31</v>
      </c>
      <c r="D5" s="2"/>
      <c r="E5" s="3"/>
    </row>
    <row r="6">
      <c r="C6" s="16" t="s">
        <v>37</v>
      </c>
      <c r="D6" s="2"/>
      <c r="E6" s="3"/>
    </row>
    <row r="8">
      <c r="C8" s="29" t="s">
        <v>40</v>
      </c>
      <c r="D8" s="2"/>
      <c r="E8" s="3"/>
    </row>
    <row r="9">
      <c r="C9" s="33" t="s">
        <v>52</v>
      </c>
      <c r="D9" s="2"/>
      <c r="E9" s="3"/>
    </row>
    <row r="10">
      <c r="C10" s="33" t="s">
        <v>61</v>
      </c>
      <c r="D10" s="2"/>
      <c r="E10" s="3"/>
    </row>
    <row r="11">
      <c r="C11" s="33" t="s">
        <v>37</v>
      </c>
      <c r="D11" s="2"/>
      <c r="E11" s="3"/>
    </row>
    <row r="13">
      <c r="C13" s="38" t="s">
        <v>73</v>
      </c>
      <c r="D13" s="2"/>
      <c r="E13" s="3"/>
    </row>
    <row r="14">
      <c r="C14" s="40" t="s">
        <v>81</v>
      </c>
      <c r="D14" s="2"/>
      <c r="E14" s="3"/>
    </row>
    <row r="15">
      <c r="C15" s="40" t="s">
        <v>86</v>
      </c>
      <c r="D15" s="2"/>
      <c r="E15" s="3"/>
    </row>
    <row r="16">
      <c r="C16" s="40" t="s">
        <v>89</v>
      </c>
      <c r="D16" s="2"/>
      <c r="E16" s="3"/>
    </row>
    <row r="18">
      <c r="C18" s="49" t="s">
        <v>93</v>
      </c>
      <c r="D18" s="2"/>
      <c r="E18" s="3"/>
    </row>
    <row r="19">
      <c r="C19" s="55" t="s">
        <v>97</v>
      </c>
      <c r="D19" s="62" t="s">
        <v>10</v>
      </c>
      <c r="E19" s="65" t="s">
        <v>103</v>
      </c>
    </row>
    <row r="20" ht="19.5" customHeight="1">
      <c r="C20" s="71" t="s">
        <v>105</v>
      </c>
      <c r="D20" s="74" t="s">
        <v>108</v>
      </c>
      <c r="E20" s="76"/>
    </row>
    <row r="21" ht="19.5" customHeight="1">
      <c r="C21" s="79" t="s">
        <v>111</v>
      </c>
      <c r="D21" s="81" t="s">
        <v>112</v>
      </c>
      <c r="E21" s="82"/>
    </row>
    <row r="22" ht="19.5" customHeight="1">
      <c r="C22" s="71" t="s">
        <v>117</v>
      </c>
      <c r="D22" s="74" t="s">
        <v>118</v>
      </c>
      <c r="E22" s="76"/>
    </row>
    <row r="23" ht="19.5" customHeight="1">
      <c r="C23" s="85"/>
      <c r="D23" s="88"/>
      <c r="E23" s="8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C9:E9"/>
    <mergeCell ref="C10:E10"/>
    <mergeCell ref="C11:E11"/>
    <mergeCell ref="C13:E13"/>
    <mergeCell ref="C14:E14"/>
    <mergeCell ref="C15:E15"/>
    <mergeCell ref="C16:E16"/>
    <mergeCell ref="C18:E18"/>
    <mergeCell ref="C1:E1"/>
    <mergeCell ref="C2:E2"/>
    <mergeCell ref="C3:E3"/>
    <mergeCell ref="C4:E4"/>
    <mergeCell ref="C5:E5"/>
    <mergeCell ref="C6:E6"/>
    <mergeCell ref="C8:E8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3.0"/>
    <col customWidth="1" min="2" max="2" width="9.0"/>
    <col customWidth="1" min="3" max="3" width="86.14"/>
    <col customWidth="1" min="4" max="4" width="25.29"/>
    <col customWidth="1" min="5" max="5" width="14.86"/>
    <col customWidth="1" min="6" max="6" width="15.14"/>
    <col customWidth="1" min="7" max="7" width="14.43"/>
    <col customWidth="1" min="8" max="8" width="10.29"/>
    <col customWidth="1" min="9" max="26" width="8.71"/>
  </cols>
  <sheetData>
    <row r="1">
      <c r="B1" s="1" t="s">
        <v>1</v>
      </c>
      <c r="C1" s="2"/>
      <c r="D1" s="2"/>
      <c r="E1" s="2"/>
      <c r="F1" s="2"/>
      <c r="G1" s="2"/>
      <c r="H1" s="3"/>
    </row>
    <row r="2">
      <c r="B2" s="4" t="s">
        <v>4</v>
      </c>
      <c r="C2" s="2"/>
      <c r="D2" s="2"/>
      <c r="E2" s="2"/>
      <c r="F2" s="2"/>
      <c r="G2" s="2"/>
      <c r="H2" s="3"/>
    </row>
    <row r="3" ht="25.5" customHeight="1">
      <c r="B3" s="5" t="s">
        <v>7</v>
      </c>
      <c r="C3" s="5" t="s">
        <v>8</v>
      </c>
      <c r="D3" s="5" t="s">
        <v>10</v>
      </c>
      <c r="E3" s="8" t="s">
        <v>11</v>
      </c>
      <c r="F3" s="10" t="s">
        <v>14</v>
      </c>
      <c r="G3" s="12" t="s">
        <v>16</v>
      </c>
      <c r="H3" s="14" t="s">
        <v>18</v>
      </c>
    </row>
    <row r="4" ht="30.0" customHeight="1">
      <c r="B4" s="15" t="s">
        <v>20</v>
      </c>
      <c r="C4" s="17" t="s">
        <v>26</v>
      </c>
      <c r="D4" s="19" t="s">
        <v>28</v>
      </c>
      <c r="E4" s="21">
        <v>1.0</v>
      </c>
      <c r="F4" s="23">
        <v>1.0</v>
      </c>
      <c r="G4" s="25" t="s">
        <v>38</v>
      </c>
      <c r="H4" s="27" t="s">
        <v>39</v>
      </c>
    </row>
    <row r="5" ht="30.0" customHeight="1">
      <c r="B5" s="15" t="s">
        <v>41</v>
      </c>
      <c r="C5" s="17" t="s">
        <v>42</v>
      </c>
      <c r="D5" s="19" t="s">
        <v>28</v>
      </c>
      <c r="E5" s="21">
        <v>1.0</v>
      </c>
      <c r="F5" s="23">
        <v>1.0</v>
      </c>
      <c r="G5" s="25" t="s">
        <v>38</v>
      </c>
      <c r="H5" s="27" t="s">
        <v>39</v>
      </c>
    </row>
    <row r="6" ht="30.0" customHeight="1">
      <c r="B6" s="15" t="s">
        <v>44</v>
      </c>
      <c r="C6" s="17" t="s">
        <v>45</v>
      </c>
      <c r="D6" s="19" t="s">
        <v>28</v>
      </c>
      <c r="E6" s="21">
        <v>3.0</v>
      </c>
      <c r="F6" s="23">
        <v>3.0</v>
      </c>
      <c r="G6" s="25" t="s">
        <v>38</v>
      </c>
      <c r="H6" s="27" t="s">
        <v>39</v>
      </c>
    </row>
    <row r="7" ht="30.0" customHeight="1">
      <c r="B7" s="15" t="s">
        <v>49</v>
      </c>
      <c r="C7" s="17" t="s">
        <v>50</v>
      </c>
      <c r="D7" s="19" t="s">
        <v>28</v>
      </c>
      <c r="E7" s="21">
        <v>3.0</v>
      </c>
      <c r="F7" s="23">
        <v>3.0</v>
      </c>
      <c r="G7" s="25" t="s">
        <v>38</v>
      </c>
      <c r="H7" s="27" t="s">
        <v>39</v>
      </c>
    </row>
    <row r="8" ht="30.0" customHeight="1">
      <c r="B8" s="15" t="s">
        <v>53</v>
      </c>
      <c r="C8" s="17" t="s">
        <v>55</v>
      </c>
      <c r="D8" s="19" t="s">
        <v>56</v>
      </c>
      <c r="E8" s="21">
        <v>1.0</v>
      </c>
      <c r="F8" s="23">
        <v>1.0</v>
      </c>
      <c r="G8" s="25" t="s">
        <v>38</v>
      </c>
      <c r="H8" s="27" t="s">
        <v>39</v>
      </c>
    </row>
    <row r="9" ht="30.0" customHeight="1">
      <c r="B9" s="15" t="s">
        <v>58</v>
      </c>
      <c r="C9" s="17" t="s">
        <v>59</v>
      </c>
      <c r="D9" s="19" t="s">
        <v>63</v>
      </c>
      <c r="E9" s="21">
        <v>1.0</v>
      </c>
      <c r="F9" s="23">
        <v>1.0</v>
      </c>
      <c r="G9" s="25" t="s">
        <v>38</v>
      </c>
      <c r="H9" s="27" t="s">
        <v>39</v>
      </c>
    </row>
    <row r="10" ht="30.0" customHeight="1">
      <c r="B10" s="15" t="s">
        <v>64</v>
      </c>
      <c r="C10" s="17" t="s">
        <v>67</v>
      </c>
      <c r="D10" s="19" t="s">
        <v>56</v>
      </c>
      <c r="E10" s="21">
        <v>3.0</v>
      </c>
      <c r="F10" s="23">
        <v>3.0</v>
      </c>
      <c r="G10" s="25" t="s">
        <v>38</v>
      </c>
      <c r="H10" s="27" t="s">
        <v>39</v>
      </c>
    </row>
    <row r="11" ht="30.0" customHeight="1">
      <c r="B11" s="15" t="s">
        <v>69</v>
      </c>
      <c r="C11" s="17" t="s">
        <v>71</v>
      </c>
      <c r="D11" s="19" t="s">
        <v>72</v>
      </c>
      <c r="E11" s="21">
        <v>1.0</v>
      </c>
      <c r="F11" s="23">
        <v>1.0</v>
      </c>
      <c r="G11" s="25" t="s">
        <v>38</v>
      </c>
      <c r="H11" s="27" t="s">
        <v>39</v>
      </c>
    </row>
    <row r="12" ht="30.0" customHeight="1">
      <c r="B12" s="15" t="s">
        <v>76</v>
      </c>
      <c r="C12" s="17" t="s">
        <v>78</v>
      </c>
      <c r="D12" s="19" t="s">
        <v>63</v>
      </c>
      <c r="E12" s="21">
        <v>2.0</v>
      </c>
      <c r="F12" s="23">
        <v>2.0</v>
      </c>
      <c r="G12" s="25" t="s">
        <v>38</v>
      </c>
      <c r="H12" s="27" t="s">
        <v>39</v>
      </c>
    </row>
    <row r="13" ht="30.0" customHeight="1">
      <c r="B13" s="15" t="s">
        <v>80</v>
      </c>
      <c r="C13" s="17" t="s">
        <v>82</v>
      </c>
      <c r="D13" s="19" t="s">
        <v>83</v>
      </c>
      <c r="E13" s="41"/>
      <c r="F13" s="43"/>
      <c r="G13" s="25" t="s">
        <v>38</v>
      </c>
      <c r="H13" s="46" t="s">
        <v>88</v>
      </c>
    </row>
    <row r="14" ht="30.0" customHeight="1">
      <c r="B14" s="15" t="s">
        <v>91</v>
      </c>
      <c r="C14" s="17" t="s">
        <v>92</v>
      </c>
      <c r="D14" s="19" t="s">
        <v>83</v>
      </c>
      <c r="E14" s="41"/>
      <c r="F14" s="43"/>
      <c r="G14" s="25" t="s">
        <v>38</v>
      </c>
      <c r="H14" s="46" t="s">
        <v>88</v>
      </c>
    </row>
    <row r="15" ht="30.0" customHeight="1">
      <c r="B15" s="48"/>
      <c r="C15" s="51"/>
      <c r="D15" s="61"/>
      <c r="E15" s="63"/>
      <c r="F15" s="67"/>
      <c r="G15" s="70"/>
      <c r="H15" s="72"/>
    </row>
    <row r="16" ht="30.0" customHeight="1">
      <c r="B16" s="48"/>
      <c r="C16" s="75"/>
      <c r="D16" s="77"/>
      <c r="E16" s="63"/>
      <c r="F16" s="67"/>
      <c r="G16" s="70"/>
      <c r="H16" s="80"/>
    </row>
    <row r="17" ht="31.5" customHeight="1">
      <c r="B17" s="48"/>
      <c r="C17" s="51"/>
      <c r="D17" s="77"/>
      <c r="E17" s="63"/>
      <c r="F17" s="67"/>
      <c r="G17" s="70"/>
      <c r="H17" s="83"/>
    </row>
    <row r="18" ht="31.5" customHeight="1">
      <c r="B18" s="48"/>
      <c r="C18" s="75"/>
      <c r="D18" s="77"/>
      <c r="E18" s="63"/>
      <c r="F18" s="67"/>
      <c r="G18" s="70"/>
      <c r="H18" s="80"/>
    </row>
    <row r="19" ht="31.5" customHeight="1">
      <c r="B19" s="48"/>
      <c r="C19" s="86"/>
      <c r="D19" s="77"/>
      <c r="E19" s="63"/>
      <c r="F19" s="67"/>
      <c r="G19" s="70"/>
      <c r="H19" s="89"/>
    </row>
    <row r="20" ht="30.0" customHeight="1">
      <c r="B20" s="48"/>
      <c r="C20" s="75"/>
      <c r="D20" s="77"/>
      <c r="E20" s="63"/>
      <c r="F20" s="67"/>
      <c r="G20" s="70"/>
      <c r="H20" s="83"/>
    </row>
    <row r="21" ht="30.75" customHeight="1">
      <c r="B21" s="48"/>
      <c r="C21" s="91"/>
      <c r="D21" s="77"/>
      <c r="E21" s="63"/>
      <c r="F21" s="67"/>
      <c r="G21" s="70"/>
      <c r="H21" s="83"/>
    </row>
    <row r="22" ht="30.75" customHeight="1">
      <c r="B22" s="48"/>
      <c r="C22" s="75"/>
      <c r="D22" s="77"/>
      <c r="E22" s="63"/>
      <c r="F22" s="67"/>
      <c r="G22" s="70"/>
      <c r="H22" s="72"/>
    </row>
    <row r="23" ht="30.75" customHeight="1">
      <c r="B23" s="48"/>
      <c r="C23" s="91"/>
      <c r="D23" s="77"/>
      <c r="E23" s="63"/>
      <c r="F23" s="67"/>
      <c r="G23" s="70"/>
      <c r="H23" s="72"/>
    </row>
    <row r="24" ht="29.25" customHeight="1">
      <c r="B24" s="42"/>
      <c r="C24" s="93"/>
      <c r="D24" s="53"/>
      <c r="E24" s="47"/>
      <c r="F24" s="28"/>
      <c r="G24" s="94"/>
      <c r="H24" s="72"/>
    </row>
    <row r="25" ht="30.75" customHeight="1">
      <c r="B25" s="42"/>
      <c r="C25" s="57"/>
      <c r="D25" s="59"/>
      <c r="E25" s="47"/>
      <c r="F25" s="28"/>
      <c r="G25" s="94"/>
      <c r="H25" s="72"/>
    </row>
    <row r="26" ht="29.25" customHeight="1">
      <c r="B26" s="42"/>
      <c r="C26" s="90"/>
      <c r="D26" s="90"/>
      <c r="E26" s="47"/>
      <c r="F26" s="28"/>
      <c r="G26" s="94"/>
      <c r="H26" s="37"/>
    </row>
    <row r="27" ht="30.75" customHeight="1">
      <c r="B27" s="42"/>
      <c r="C27" s="57"/>
      <c r="D27" s="24"/>
      <c r="E27" s="47"/>
      <c r="F27" s="28"/>
      <c r="G27" s="94"/>
      <c r="H27" s="31"/>
    </row>
    <row r="28" ht="33.0" customHeight="1">
      <c r="B28" s="42"/>
      <c r="C28" s="90"/>
      <c r="D28" s="90"/>
      <c r="E28" s="47"/>
      <c r="F28" s="28"/>
      <c r="G28" s="94"/>
      <c r="H28" s="31"/>
    </row>
    <row r="29" ht="33.0" customHeight="1">
      <c r="B29" s="95"/>
      <c r="C29" s="57"/>
      <c r="D29" s="24"/>
      <c r="E29" s="96"/>
      <c r="F29" s="97"/>
      <c r="G29" s="98"/>
      <c r="H29" s="99"/>
    </row>
    <row r="30" ht="31.5" customHeight="1">
      <c r="B30" s="100" t="s">
        <v>139</v>
      </c>
      <c r="C30" s="2"/>
      <c r="D30" s="3"/>
      <c r="E30" s="101">
        <f>SUM(E4:E29)</f>
        <v>16</v>
      </c>
      <c r="F30" s="102">
        <f>SUM(F4:F14)</f>
        <v>16</v>
      </c>
      <c r="G30" s="103">
        <f>IFERROR(F30/E30,0)</f>
        <v>1</v>
      </c>
      <c r="H30" s="104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3">
    <mergeCell ref="B1:H1"/>
    <mergeCell ref="B2:H2"/>
    <mergeCell ref="B30:D30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0.0"/>
    <col customWidth="1" min="3" max="3" width="14.0"/>
    <col customWidth="1" min="4" max="5" width="16.0"/>
    <col customWidth="1" min="6" max="7" width="15.0"/>
    <col customWidth="1" min="8" max="26" width="8.71"/>
  </cols>
  <sheetData>
    <row r="1">
      <c r="B1" s="1" t="s">
        <v>144</v>
      </c>
      <c r="C1" s="2"/>
      <c r="D1" s="2"/>
      <c r="E1" s="2"/>
      <c r="F1" s="2"/>
      <c r="G1" s="3"/>
    </row>
    <row r="2">
      <c r="B2" s="4" t="s">
        <v>145</v>
      </c>
      <c r="C2" s="2"/>
      <c r="D2" s="2"/>
      <c r="E2" s="2"/>
      <c r="F2" s="2"/>
      <c r="G2" s="3"/>
    </row>
    <row r="3" ht="30.0" customHeight="1">
      <c r="B3" s="110" t="s">
        <v>146</v>
      </c>
      <c r="C3" s="110" t="s">
        <v>147</v>
      </c>
      <c r="D3" s="111" t="s">
        <v>148</v>
      </c>
      <c r="E3" s="112" t="s">
        <v>149</v>
      </c>
      <c r="F3" s="113" t="s">
        <v>150</v>
      </c>
      <c r="G3" s="114" t="s">
        <v>151</v>
      </c>
    </row>
    <row r="4" ht="21.75" customHeight="1">
      <c r="B4" s="115">
        <v>1.0</v>
      </c>
      <c r="C4" s="116">
        <v>46286.0</v>
      </c>
      <c r="D4" s="117">
        <f t="shared" ref="D4:D8" si="1">16*(6-B4)/5</f>
        <v>16</v>
      </c>
      <c r="E4" s="28">
        <v>1.0</v>
      </c>
      <c r="F4" s="118">
        <f t="shared" ref="F4:F9" si="2">SUM($E$4:E4)</f>
        <v>1</v>
      </c>
      <c r="G4" s="119">
        <f t="shared" ref="G4:G9" si="3">16-F4</f>
        <v>15</v>
      </c>
    </row>
    <row r="5" ht="21.75" customHeight="1">
      <c r="B5" s="120">
        <v>2.0</v>
      </c>
      <c r="C5" s="121">
        <v>46289.0</v>
      </c>
      <c r="D5" s="117">
        <f t="shared" si="1"/>
        <v>12.8</v>
      </c>
      <c r="E5" s="28">
        <v>2.0</v>
      </c>
      <c r="F5" s="118">
        <f t="shared" si="2"/>
        <v>3</v>
      </c>
      <c r="G5" s="119">
        <f t="shared" si="3"/>
        <v>13</v>
      </c>
    </row>
    <row r="6" ht="21.75" customHeight="1">
      <c r="B6" s="115">
        <v>3.0</v>
      </c>
      <c r="C6" s="116">
        <v>46293.0</v>
      </c>
      <c r="D6" s="117">
        <f t="shared" si="1"/>
        <v>9.6</v>
      </c>
      <c r="E6" s="28">
        <v>3.0</v>
      </c>
      <c r="F6" s="118">
        <f t="shared" si="2"/>
        <v>6</v>
      </c>
      <c r="G6" s="119">
        <f t="shared" si="3"/>
        <v>10</v>
      </c>
    </row>
    <row r="7" ht="21.75" customHeight="1">
      <c r="B7" s="120">
        <v>4.0</v>
      </c>
      <c r="C7" s="121">
        <v>46296.0</v>
      </c>
      <c r="D7" s="117">
        <f t="shared" si="1"/>
        <v>6.4</v>
      </c>
      <c r="E7" s="28">
        <v>2.0</v>
      </c>
      <c r="F7" s="118">
        <f t="shared" si="2"/>
        <v>8</v>
      </c>
      <c r="G7" s="119">
        <f t="shared" si="3"/>
        <v>8</v>
      </c>
    </row>
    <row r="8" ht="21.75" customHeight="1">
      <c r="B8" s="115">
        <v>5.0</v>
      </c>
      <c r="C8" s="116">
        <v>46300.0</v>
      </c>
      <c r="D8" s="117">
        <f t="shared" si="1"/>
        <v>3.2</v>
      </c>
      <c r="E8" s="28">
        <v>3.0</v>
      </c>
      <c r="F8" s="118">
        <f t="shared" si="2"/>
        <v>11</v>
      </c>
      <c r="G8" s="119">
        <f t="shared" si="3"/>
        <v>5</v>
      </c>
    </row>
    <row r="9" ht="21.75" customHeight="1">
      <c r="B9" s="120">
        <v>6.0</v>
      </c>
      <c r="C9" s="121">
        <v>46303.0</v>
      </c>
      <c r="D9" s="117">
        <f>'⚙ Configuración'!$C$10*(6-B9)/5</f>
        <v>0</v>
      </c>
      <c r="E9" s="28">
        <v>5.0</v>
      </c>
      <c r="F9" s="118">
        <f t="shared" si="2"/>
        <v>16</v>
      </c>
      <c r="G9" s="119">
        <f t="shared" si="3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G1"/>
    <mergeCell ref="B2:G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3.0"/>
    <col customWidth="1" min="3" max="3" width="40.0"/>
    <col customWidth="1" min="4" max="4" width="22.0"/>
    <col customWidth="1" min="5" max="5" width="14.0"/>
    <col customWidth="1" min="6" max="6" width="3.0"/>
    <col customWidth="1" min="7" max="26" width="8.71"/>
  </cols>
  <sheetData>
    <row r="1">
      <c r="C1" s="1" t="s">
        <v>2</v>
      </c>
      <c r="D1" s="2"/>
      <c r="E1" s="3"/>
    </row>
    <row r="2">
      <c r="C2" s="4" t="s">
        <v>5</v>
      </c>
      <c r="D2" s="2"/>
      <c r="E2" s="3"/>
    </row>
    <row r="3">
      <c r="C3" s="7" t="s">
        <v>9</v>
      </c>
      <c r="D3" s="2"/>
      <c r="E3" s="3"/>
    </row>
    <row r="4">
      <c r="C4" s="105" t="s">
        <v>140</v>
      </c>
      <c r="D4" s="2"/>
      <c r="E4" s="3"/>
    </row>
    <row r="5">
      <c r="C5" s="105" t="s">
        <v>141</v>
      </c>
      <c r="D5" s="2"/>
      <c r="E5" s="3"/>
    </row>
    <row r="6">
      <c r="C6" s="105" t="s">
        <v>141</v>
      </c>
      <c r="D6" s="2"/>
      <c r="E6" s="3"/>
    </row>
    <row r="8">
      <c r="C8" s="29" t="s">
        <v>40</v>
      </c>
      <c r="D8" s="2"/>
      <c r="E8" s="3"/>
    </row>
    <row r="9">
      <c r="C9" s="106" t="s">
        <v>142</v>
      </c>
      <c r="D9" s="2"/>
      <c r="E9" s="3"/>
    </row>
    <row r="10">
      <c r="C10" s="106" t="s">
        <v>141</v>
      </c>
      <c r="D10" s="2"/>
      <c r="E10" s="3"/>
    </row>
    <row r="11">
      <c r="C11" s="106" t="s">
        <v>141</v>
      </c>
      <c r="D11" s="2"/>
      <c r="E11" s="3"/>
    </row>
    <row r="13">
      <c r="C13" s="38" t="s">
        <v>73</v>
      </c>
      <c r="D13" s="2"/>
      <c r="E13" s="3"/>
    </row>
    <row r="14">
      <c r="C14" s="107" t="s">
        <v>143</v>
      </c>
      <c r="D14" s="2"/>
      <c r="E14" s="3"/>
    </row>
    <row r="15">
      <c r="C15" s="107" t="s">
        <v>141</v>
      </c>
      <c r="D15" s="2"/>
      <c r="E15" s="3"/>
    </row>
    <row r="16">
      <c r="C16" s="107" t="s">
        <v>141</v>
      </c>
      <c r="D16" s="2"/>
      <c r="E16" s="3"/>
    </row>
    <row r="18">
      <c r="C18" s="49" t="s">
        <v>93</v>
      </c>
      <c r="D18" s="2"/>
      <c r="E18" s="3"/>
    </row>
    <row r="19">
      <c r="C19" s="55" t="s">
        <v>97</v>
      </c>
      <c r="D19" s="62" t="s">
        <v>10</v>
      </c>
      <c r="E19" s="65" t="s">
        <v>103</v>
      </c>
    </row>
    <row r="20" ht="19.5" customHeight="1">
      <c r="C20" s="108"/>
      <c r="D20" s="109"/>
      <c r="E20" s="76"/>
    </row>
    <row r="21" ht="19.5" customHeight="1">
      <c r="C21" s="85"/>
      <c r="D21" s="88"/>
      <c r="E21" s="82"/>
    </row>
    <row r="22" ht="19.5" customHeight="1">
      <c r="C22" s="108"/>
      <c r="D22" s="109"/>
      <c r="E22" s="76"/>
    </row>
    <row r="23" ht="19.5" customHeight="1">
      <c r="C23" s="85"/>
      <c r="D23" s="88"/>
      <c r="E23" s="8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C9:E9"/>
    <mergeCell ref="C10:E10"/>
    <mergeCell ref="C11:E11"/>
    <mergeCell ref="C13:E13"/>
    <mergeCell ref="C14:E14"/>
    <mergeCell ref="C15:E15"/>
    <mergeCell ref="C16:E16"/>
    <mergeCell ref="C18:E18"/>
    <mergeCell ref="C1:E1"/>
    <mergeCell ref="C2:E2"/>
    <mergeCell ref="C3:E3"/>
    <mergeCell ref="C4:E4"/>
    <mergeCell ref="C5:E5"/>
    <mergeCell ref="C6:E6"/>
    <mergeCell ref="C8:E8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0.0"/>
    <col customWidth="1" min="3" max="3" width="14.0"/>
    <col customWidth="1" min="4" max="5" width="16.0"/>
    <col customWidth="1" min="6" max="7" width="15.0"/>
    <col customWidth="1" min="8" max="26" width="8.71"/>
  </cols>
  <sheetData>
    <row r="1">
      <c r="B1" s="1" t="s">
        <v>144</v>
      </c>
      <c r="C1" s="2"/>
      <c r="D1" s="2"/>
      <c r="E1" s="2"/>
      <c r="F1" s="2"/>
      <c r="G1" s="3"/>
    </row>
    <row r="2">
      <c r="B2" s="4" t="s">
        <v>145</v>
      </c>
      <c r="C2" s="2"/>
      <c r="D2" s="2"/>
      <c r="E2" s="2"/>
      <c r="F2" s="2"/>
      <c r="G2" s="3"/>
    </row>
    <row r="3" ht="30.0" customHeight="1">
      <c r="B3" s="110" t="s">
        <v>146</v>
      </c>
      <c r="C3" s="110" t="s">
        <v>147</v>
      </c>
      <c r="D3" s="111" t="s">
        <v>148</v>
      </c>
      <c r="E3" s="112" t="s">
        <v>149</v>
      </c>
      <c r="F3" s="113" t="s">
        <v>150</v>
      </c>
      <c r="G3" s="114" t="s">
        <v>151</v>
      </c>
    </row>
    <row r="4" ht="21.75" customHeight="1">
      <c r="B4" s="115">
        <v>1.0</v>
      </c>
      <c r="C4" s="122" t="s">
        <v>152</v>
      </c>
      <c r="D4" s="117">
        <f>'⚙ Configuración'!$C$10*(6-B4)/5</f>
        <v>28</v>
      </c>
      <c r="E4" s="28">
        <v>0.0</v>
      </c>
      <c r="F4" s="118">
        <f t="shared" ref="F4:F9" si="1">SUM($E$4:E4)</f>
        <v>0</v>
      </c>
      <c r="G4" s="119">
        <f>'⚙ Configuración'!$C$10-F4</f>
        <v>28</v>
      </c>
    </row>
    <row r="5" ht="21.75" customHeight="1">
      <c r="B5" s="120">
        <v>2.0</v>
      </c>
      <c r="C5" s="94" t="s">
        <v>157</v>
      </c>
      <c r="D5" s="117">
        <f>'⚙ Configuración'!$C$10*(6-B5)/5</f>
        <v>22.4</v>
      </c>
      <c r="E5" s="28"/>
      <c r="F5" s="118">
        <f t="shared" si="1"/>
        <v>0</v>
      </c>
      <c r="G5" s="119">
        <f>'⚙ Configuración'!$C$10-F5</f>
        <v>28</v>
      </c>
    </row>
    <row r="6" ht="21.75" customHeight="1">
      <c r="B6" s="115">
        <v>3.0</v>
      </c>
      <c r="C6" s="122" t="s">
        <v>160</v>
      </c>
      <c r="D6" s="117">
        <f>'⚙ Configuración'!$C$10*(6-B6)/5</f>
        <v>16.8</v>
      </c>
      <c r="E6" s="28"/>
      <c r="F6" s="118">
        <f t="shared" si="1"/>
        <v>0</v>
      </c>
      <c r="G6" s="119">
        <f>'⚙ Configuración'!$C$10-F6</f>
        <v>28</v>
      </c>
    </row>
    <row r="7" ht="21.75" customHeight="1">
      <c r="B7" s="120">
        <v>4.0</v>
      </c>
      <c r="C7" s="94" t="s">
        <v>162</v>
      </c>
      <c r="D7" s="117">
        <f>'⚙ Configuración'!$C$10*(6-B7)/5</f>
        <v>11.2</v>
      </c>
      <c r="E7" s="130"/>
      <c r="F7" s="118">
        <f t="shared" si="1"/>
        <v>0</v>
      </c>
      <c r="G7" s="119">
        <f>'⚙ Configuración'!$C$10-F7</f>
        <v>28</v>
      </c>
    </row>
    <row r="8" ht="21.75" customHeight="1">
      <c r="B8" s="115">
        <v>5.0</v>
      </c>
      <c r="C8" s="122" t="s">
        <v>165</v>
      </c>
      <c r="D8" s="117">
        <f>'⚙ Configuración'!$C$10*(6-B8)/5</f>
        <v>5.6</v>
      </c>
      <c r="E8" s="130"/>
      <c r="F8" s="118">
        <f t="shared" si="1"/>
        <v>0</v>
      </c>
      <c r="G8" s="119">
        <f>'⚙ Configuración'!$C$10-F8</f>
        <v>28</v>
      </c>
    </row>
    <row r="9" ht="21.75" customHeight="1">
      <c r="B9" s="120">
        <v>6.0</v>
      </c>
      <c r="C9" s="94" t="s">
        <v>168</v>
      </c>
      <c r="D9" s="117">
        <f>'⚙ Configuración'!$C$10*(6-B9)/5</f>
        <v>0</v>
      </c>
      <c r="E9" s="130"/>
      <c r="F9" s="118">
        <f t="shared" si="1"/>
        <v>0</v>
      </c>
      <c r="G9" s="119">
        <f>'⚙ Configuración'!$C$10-F9</f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G1"/>
    <mergeCell ref="B2:G2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3.0"/>
    <col customWidth="1" min="3" max="3" width="40.0"/>
    <col customWidth="1" min="4" max="4" width="22.0"/>
    <col customWidth="1" min="5" max="5" width="14.0"/>
    <col customWidth="1" min="6" max="6" width="3.0"/>
    <col customWidth="1" min="7" max="26" width="8.71"/>
  </cols>
  <sheetData>
    <row r="1">
      <c r="C1" s="1" t="s">
        <v>2</v>
      </c>
      <c r="D1" s="2"/>
      <c r="E1" s="3"/>
    </row>
    <row r="2">
      <c r="C2" s="4" t="s">
        <v>5</v>
      </c>
      <c r="D2" s="2"/>
      <c r="E2" s="3"/>
    </row>
    <row r="3">
      <c r="C3" s="7" t="s">
        <v>9</v>
      </c>
      <c r="D3" s="2"/>
      <c r="E3" s="3"/>
    </row>
    <row r="4">
      <c r="C4" s="105" t="s">
        <v>140</v>
      </c>
      <c r="D4" s="2"/>
      <c r="E4" s="3"/>
    </row>
    <row r="5">
      <c r="C5" s="105" t="s">
        <v>141</v>
      </c>
      <c r="D5" s="2"/>
      <c r="E5" s="3"/>
    </row>
    <row r="6">
      <c r="C6" s="105" t="s">
        <v>141</v>
      </c>
      <c r="D6" s="2"/>
      <c r="E6" s="3"/>
    </row>
    <row r="8">
      <c r="C8" s="29" t="s">
        <v>40</v>
      </c>
      <c r="D8" s="2"/>
      <c r="E8" s="3"/>
    </row>
    <row r="9">
      <c r="C9" s="106" t="s">
        <v>142</v>
      </c>
      <c r="D9" s="2"/>
      <c r="E9" s="3"/>
    </row>
    <row r="10">
      <c r="C10" s="106" t="s">
        <v>141</v>
      </c>
      <c r="D10" s="2"/>
      <c r="E10" s="3"/>
    </row>
    <row r="11">
      <c r="C11" s="106" t="s">
        <v>141</v>
      </c>
      <c r="D11" s="2"/>
      <c r="E11" s="3"/>
    </row>
    <row r="13">
      <c r="C13" s="38" t="s">
        <v>73</v>
      </c>
      <c r="D13" s="2"/>
      <c r="E13" s="3"/>
    </row>
    <row r="14">
      <c r="C14" s="107" t="s">
        <v>143</v>
      </c>
      <c r="D14" s="2"/>
      <c r="E14" s="3"/>
    </row>
    <row r="15">
      <c r="C15" s="107" t="s">
        <v>141</v>
      </c>
      <c r="D15" s="2"/>
      <c r="E15" s="3"/>
    </row>
    <row r="16">
      <c r="C16" s="107" t="s">
        <v>141</v>
      </c>
      <c r="D16" s="2"/>
      <c r="E16" s="3"/>
    </row>
    <row r="18">
      <c r="C18" s="49" t="s">
        <v>93</v>
      </c>
      <c r="D18" s="2"/>
      <c r="E18" s="3"/>
    </row>
    <row r="19">
      <c r="C19" s="55" t="s">
        <v>97</v>
      </c>
      <c r="D19" s="62" t="s">
        <v>10</v>
      </c>
      <c r="E19" s="65" t="s">
        <v>103</v>
      </c>
    </row>
    <row r="20" ht="19.5" customHeight="1">
      <c r="C20" s="108"/>
      <c r="D20" s="109"/>
      <c r="E20" s="76"/>
    </row>
    <row r="21" ht="19.5" customHeight="1">
      <c r="C21" s="85"/>
      <c r="D21" s="88"/>
      <c r="E21" s="82"/>
    </row>
    <row r="22" ht="19.5" customHeight="1">
      <c r="C22" s="108"/>
      <c r="D22" s="109"/>
      <c r="E22" s="76"/>
    </row>
    <row r="23" ht="19.5" customHeight="1">
      <c r="C23" s="85"/>
      <c r="D23" s="88"/>
      <c r="E23" s="8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C9:E9"/>
    <mergeCell ref="C10:E10"/>
    <mergeCell ref="C11:E11"/>
    <mergeCell ref="C13:E13"/>
    <mergeCell ref="C14:E14"/>
    <mergeCell ref="C15:E15"/>
    <mergeCell ref="C16:E16"/>
    <mergeCell ref="C18:E18"/>
    <mergeCell ref="C1:E1"/>
    <mergeCell ref="C2:E2"/>
    <mergeCell ref="C3:E3"/>
    <mergeCell ref="C4:E4"/>
    <mergeCell ref="C5:E5"/>
    <mergeCell ref="C6:E6"/>
    <mergeCell ref="C8:E8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6.71"/>
    <col customWidth="1" min="3" max="3" width="8.0"/>
    <col customWidth="1" min="4" max="4" width="56.14"/>
    <col customWidth="1" min="5" max="5" width="20.0"/>
    <col customWidth="1" min="6" max="6" width="3.0"/>
    <col customWidth="1" min="7" max="26" width="8.71"/>
  </cols>
  <sheetData>
    <row r="1">
      <c r="B1" s="1" t="s">
        <v>153</v>
      </c>
      <c r="C1" s="2"/>
      <c r="D1" s="2"/>
      <c r="E1" s="3"/>
    </row>
    <row r="2">
      <c r="B2" s="4" t="s">
        <v>154</v>
      </c>
      <c r="C2" s="123"/>
      <c r="D2" s="123"/>
      <c r="E2" s="124" t="s">
        <v>155</v>
      </c>
    </row>
    <row r="3">
      <c r="B3" s="6" t="s">
        <v>156</v>
      </c>
      <c r="C3" s="2"/>
      <c r="D3" s="2"/>
      <c r="E3" s="3"/>
    </row>
    <row r="4">
      <c r="B4" s="125" t="s">
        <v>158</v>
      </c>
      <c r="C4" s="126">
        <f>'📋 Sprint 1 - Backlog'!E27</f>
        <v>28</v>
      </c>
      <c r="D4" s="127" t="s">
        <v>159</v>
      </c>
      <c r="E4" s="128">
        <v>29.0</v>
      </c>
    </row>
    <row r="5">
      <c r="B5" s="9" t="s">
        <v>161</v>
      </c>
      <c r="C5" s="126">
        <f>'📋 Sprint 1 - Backlog'!F27</f>
        <v>15.5</v>
      </c>
      <c r="D5" s="13" t="s">
        <v>163</v>
      </c>
      <c r="E5" s="129">
        <v>13.0</v>
      </c>
    </row>
    <row r="6">
      <c r="B6" s="125" t="s">
        <v>164</v>
      </c>
      <c r="C6" s="126">
        <f>'📋 Sprint 1 - Backlog'!E27-'📋 Sprint 1 - Backlog'!F27</f>
        <v>12.5</v>
      </c>
      <c r="D6" s="127" t="s">
        <v>166</v>
      </c>
      <c r="E6" s="128">
        <v>16.0</v>
      </c>
    </row>
    <row r="7">
      <c r="B7" s="9" t="s">
        <v>167</v>
      </c>
      <c r="C7" s="131">
        <f>IFERROR('📋 Sprint 1 - Backlog'!F27/'📋 Sprint 1 - Backlog'!E27,0)</f>
        <v>0.5535714286</v>
      </c>
      <c r="D7" s="13" t="s">
        <v>169</v>
      </c>
      <c r="E7" s="132">
        <v>0.448</v>
      </c>
    </row>
    <row r="8">
      <c r="B8" s="125" t="s">
        <v>170</v>
      </c>
      <c r="C8" s="126">
        <f>COUNTIF('📋 Sprint 1 - Backlog'!G4:G11,"✅ Done")</f>
        <v>0</v>
      </c>
      <c r="D8" s="127" t="s">
        <v>171</v>
      </c>
      <c r="E8" s="128">
        <v>2.0</v>
      </c>
    </row>
    <row r="9">
      <c r="B9" s="9" t="s">
        <v>172</v>
      </c>
      <c r="C9" s="126">
        <f>COUNTIF('📋 Sprint 1 - Backlog'!G4:G11,"🔄 In Progress")</f>
        <v>0</v>
      </c>
      <c r="D9" s="13" t="s">
        <v>173</v>
      </c>
      <c r="E9" s="129">
        <v>1.0</v>
      </c>
    </row>
    <row r="10">
      <c r="B10" s="44" t="s">
        <v>174</v>
      </c>
      <c r="C10" s="2"/>
      <c r="D10" s="2"/>
      <c r="E10" s="3"/>
    </row>
    <row r="11">
      <c r="B11" s="9" t="s">
        <v>175</v>
      </c>
      <c r="C11" s="126">
        <f>'📋 Sprint 1 - Backlog'!F27</f>
        <v>15.5</v>
      </c>
      <c r="D11" s="13" t="s">
        <v>176</v>
      </c>
      <c r="E11" s="129">
        <v>13.0</v>
      </c>
    </row>
    <row r="12">
      <c r="B12" s="125" t="s">
        <v>47</v>
      </c>
      <c r="C12" s="126">
        <f>'⚙ Configuración'!C11</f>
        <v>0</v>
      </c>
      <c r="D12" s="127" t="s">
        <v>177</v>
      </c>
      <c r="E12" s="128">
        <v>0.0</v>
      </c>
    </row>
    <row r="13">
      <c r="B13" s="9" t="s">
        <v>178</v>
      </c>
      <c r="C13" s="133">
        <f>'📋 Sprint 1 - Backlog'!F27-'⚙ Configuración'!C11</f>
        <v>15.5</v>
      </c>
      <c r="D13" s="13" t="s">
        <v>179</v>
      </c>
      <c r="E13" s="129" t="s">
        <v>180</v>
      </c>
    </row>
    <row r="14">
      <c r="B14" s="125" t="s">
        <v>181</v>
      </c>
      <c r="C14" s="134">
        <f>IFERROR('📋 Sprint 1 - Backlog'!F27/'⚙ Configuración'!C12,0)</f>
        <v>3.1</v>
      </c>
      <c r="D14" s="127" t="s">
        <v>182</v>
      </c>
      <c r="E14" s="128">
        <v>3.25</v>
      </c>
    </row>
    <row r="15">
      <c r="B15" s="9" t="s">
        <v>183</v>
      </c>
      <c r="C15" s="135">
        <f>IFERROR('📋 Sprint 1 - Backlog'!F27/('⚙ Configuración'!C12*'⚙ Configuración'!C9),0)</f>
        <v>0.5166666667</v>
      </c>
      <c r="D15" s="13" t="s">
        <v>184</v>
      </c>
      <c r="E15" s="129">
        <v>0.54</v>
      </c>
    </row>
    <row r="16">
      <c r="B16" s="136" t="s">
        <v>185</v>
      </c>
      <c r="C16" s="2"/>
      <c r="D16" s="2"/>
      <c r="E16" s="3"/>
    </row>
    <row r="17">
      <c r="B17" s="9" t="s">
        <v>186</v>
      </c>
      <c r="C17" s="126">
        <v>0.0</v>
      </c>
      <c r="D17" s="13" t="s">
        <v>187</v>
      </c>
      <c r="E17" s="129">
        <v>5.0</v>
      </c>
    </row>
    <row r="18">
      <c r="B18" s="125" t="s">
        <v>188</v>
      </c>
      <c r="C18" s="126">
        <f>'⚙ Configuración'!C9-C17</f>
        <v>6</v>
      </c>
      <c r="D18" s="127" t="s">
        <v>189</v>
      </c>
      <c r="E18" s="128">
        <v>1.0</v>
      </c>
    </row>
    <row r="19">
      <c r="B19" s="9" t="s">
        <v>190</v>
      </c>
      <c r="C19" s="134">
        <f>IF(C18&lt;=0,"Sprint terminado",('📋 Sprint 1 - Backlog'!E27-'📋 Sprint 1 - Backlog'!F27)/C18)</f>
        <v>2.083333333</v>
      </c>
      <c r="D19" s="13" t="s">
        <v>191</v>
      </c>
      <c r="E19" s="129">
        <v>16.0</v>
      </c>
    </row>
    <row r="20">
      <c r="B20" s="125" t="s">
        <v>192</v>
      </c>
      <c r="C20" s="134">
        <f>IF(C17=0,0,'📋 Sprint 1 - Backlog'!F27/C17)</f>
        <v>0</v>
      </c>
      <c r="D20" s="127" t="s">
        <v>193</v>
      </c>
      <c r="E20" s="128">
        <v>2.6</v>
      </c>
    </row>
    <row r="21" ht="15.75" customHeight="1">
      <c r="B21" s="9" t="s">
        <v>194</v>
      </c>
      <c r="C21" s="135">
        <f>IF(C17=0,1,C20/IFERROR(('⚙ Configuración'!C10/'⚙ Configuración'!C9),1))</f>
        <v>1</v>
      </c>
      <c r="D21" s="13" t="s">
        <v>195</v>
      </c>
      <c r="E21" s="129">
        <v>0.56</v>
      </c>
    </row>
    <row r="22" ht="15.75" customHeight="1">
      <c r="B22" s="137" t="s">
        <v>196</v>
      </c>
      <c r="C22" s="2"/>
      <c r="D22" s="2"/>
      <c r="E22" s="3"/>
    </row>
    <row r="23" ht="15.75" customHeight="1">
      <c r="B23" s="138" t="s">
        <v>197</v>
      </c>
      <c r="C23" s="105" t="s">
        <v>198</v>
      </c>
      <c r="D23" s="2"/>
      <c r="E23" s="3"/>
    </row>
    <row r="24" ht="15.75" customHeight="1">
      <c r="B24" s="139" t="s">
        <v>199</v>
      </c>
      <c r="C24" s="107" t="s">
        <v>200</v>
      </c>
      <c r="D24" s="2"/>
      <c r="E24" s="3"/>
    </row>
    <row r="25" ht="15.75" customHeight="1">
      <c r="B25" s="140" t="s">
        <v>201</v>
      </c>
      <c r="C25" s="141" t="s">
        <v>202</v>
      </c>
      <c r="D25" s="2"/>
      <c r="E25" s="3"/>
    </row>
    <row r="26" ht="15.75" customHeight="1">
      <c r="B26" s="142" t="s">
        <v>203</v>
      </c>
      <c r="C26" s="106" t="s">
        <v>204</v>
      </c>
      <c r="D26" s="2"/>
      <c r="E26" s="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25:E25"/>
    <mergeCell ref="C26:E26"/>
    <mergeCell ref="B1:E1"/>
    <mergeCell ref="B3:E3"/>
    <mergeCell ref="B10:E10"/>
    <mergeCell ref="B16:E16"/>
    <mergeCell ref="B22:E22"/>
    <mergeCell ref="C23:E23"/>
    <mergeCell ref="C24:E24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2026-08-12T00:44:11Z</dcterms:created>
  <dc:creator>openpyxl</dc:creator>
</cp:coreProperties>
</file>